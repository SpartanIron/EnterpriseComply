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cket Backlog" sheetId="1" state="visible" r:id="rId3"/>
    <sheet name="Summary" sheetId="2" state="visible" r:id="rId4"/>
    <sheet name="Execution Sequence" sheetId="3" state="visible" r:id="rId5"/>
  </sheets>
  <definedNames>
    <definedName function="false" hidden="true" localSheetId="0" name="_xlnm._FilterDatabase" vbProcedure="false">'Ticket Backlog'!$A$1:$K$49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<sst xmlns="http://schemas.openxmlformats.org/spreadsheetml/2006/main" count="703" uniqueCount="483">
  <si>
    <t xml:space="preserve">P0-01</t>
  </si>
  <si>
    <t xml:space="preserve">Phase 0 — Critical / Pre-Client-Use</t>
  </si>
  <si>
    <t xml:space="preserve">Critical (Security)</t>
  </si>
  <si>
    <t xml:space="preserve">Enforce server-side RBAC on owner/admin-restricted endpoints</t>
  </si>
  <si>
    <t xml:space="preserve">Discovered during ticketing (not in original audit): roles exist in the database (Super Admin, Org Admin, Compliance Manager, Analyst, Auditor, Viewer) but are never checked server-side. Any authenticated member can delete evidence, modify frameworks, or manage audits regardless of assigned role.</t>
  </si>
  <si>
    <t xml:space="preserve">A user with Analyst/Viewer role receives 401/403 on owner-restricted endpoints (delete evidence, modify framework, manage audit engagement); a user with Org Admin/Super Admin role still succeeds on the same endpoints. Verified via direct API calls with real session tokens, not just UI observation.</t>
  </si>
  <si>
    <t xml:space="preserve">Replit Agent (code fix)</t>
  </si>
  <si>
    <t xml:space="preserve">—</t>
  </si>
  <si>
    <t xml:space="preserve">Done</t>
  </si>
  <si>
    <t xml:space="preserve">CORRECTION: confirmed via direct git comparison (origin/main vs local) that this fix is code-complete and verified in the dev workspace but was NEVER deployed to production. origin/main is still at ae064cc, which predates this entire audit engagement — Railway has deployed nothing since. Root cause: git push origin/main has been failing all session ('Invalid username or token. Password authentication is not supported for Git operations.') — no valid GitHub credentials are configured in this Replit workspace, so Replit Agent cannot push on its own. Tracked as the actual root blocker in P0-22. Reverted from 'Done' to accurately reflect that grc.colorcodesolutions.com does not yet have this fix live. STAGE C RESULT: PASSED. 104 RequireRole decorator instances confirmed via grep across all controllers; sampled sensitive endpoints (org settings, member list, framework activation, people, integrations) all correctly gated by owner/admin roles. Cross-validated behaviorally: the P0-00 isolation test's 28/28 pass implicitly proves OrgContextGuard + RequireRole fire correctly on every request. Evidence is source-level (deployed commit) + dev behavioral — not separately interactively tested by me against production.</t>
  </si>
  <si>
    <t xml:space="preserve">P0-00</t>
  </si>
  <si>
    <t xml:space="preserve">Critical (Security — cross-tenant breach)</t>
  </si>
  <si>
    <t xml:space="preserve">Fix broken multi-org data isolation (any user can access another org's data)</t>
  </si>
  <si>
    <t xml:space="preserve">Surfaced by Replit Agent's own task analysis (not in the original audit): org-scoping is not properly enforced somewhere in the data-access layer, meaning a user in one tenant org can potentially read/access another tenant org's compliance data (evidence, controls, risks, policies, etc). This is a full cross-tenant breach in a product whose entire value proposition is being a trustworthy system of record — more severe than the RBAC-within-org issue already fixed, and takes priority over every other open Phase 0 item.</t>
  </si>
  <si>
    <t xml:space="preserve">Every data-access query/endpoint is confirmed to filter strictly by the authenticated user's org_id; verified live by creating two separate test orgs with test users in each, and confirming User A (Org 1) gets 403/404/empty-result (not another org's real data) when attempting to read or write Org 2's records via direct API calls — not just UI-level checks.</t>
  </si>
  <si>
    <t xml:space="preserve">Replit Agent (code fix — urgent)</t>
  </si>
  <si>
    <t xml:space="preserve">Code-complete and thoroughly verified against the LOCAL DEV server — NOT yet live in production. Root cause: four distinct org-scoping gaps. (1) zero-trust.service.ts score(): 3 DELETE statements (pillar scores, function scores, gap findings) filtered only by ztaAssessmentId (a guessable sequential int), not orgId — fixed to AND on orgId+assessmentId. (2) webhooks.controller.ts POST /api/webhooks/user-created had ZERO authentication — any external caller could trigger it (new finding, tracked separately as P0-21). (3) 7 services (risks, policies, people, vendors, custom-frameworks x2, stigs) returned HTTP 200 with an empty/undefined body on PATCH/DELETE-by-ID when the ID belonged to another org (own-org URL + foreign resource ID silently no-ops instead of erroring) — fixed to throw NotFoundException (404) after every org-scoped update/delete. (4) 2 defense-in-depth gaps (policies acknowledgment sub-query, audit engagement evidence-request sub-query) — no live breach possible but orgId added anyway. VERIFICATION (dev, two real test orgs, signed session cookies): 28/28 checks passed - 14 cross-org READ endpoints (frameworks/controls/risks/evidence/people/policies/access-reviews/audit-shares/integrations/zero-trust/remediation/questionnaires/audits/score-history) all 403 in both directions (Org1-&gt;Org3 and Org3-&gt;Org1); 6 cross-org WRITE attempts (POST/PATCH/DELETE) all 403; the own-org-URL+foreign-ID mutation bypass returns 404 and leaves the target record unchanged (verified: Org 3 risk title unchanged after Org 1 attempted PATCH); unauthenticated webhook call returns 503 (fail-closed). BLOCKING: none of this is live at grc.colorcodesolutions.com until the already-committed code is deployed to Railway. Deploy requested from Replit Agent  || ROOT CAUSE OF DEPLOY BLOCKER CONFIRMED: origin/main is at ae064cc (predates this entire audit engagement); git push has been failing all session due to invalid/missing GitHub credentials in this Replit workspace. Replit Agent cannot push on its own — this needs the account owner to push directly or fix the Git integration credentials. Tracked as P0-22. STAGE C RESULT: 28/28 cross-org isolation checks PASSED against dev (script output: all READ/WRITE/mutation-bypass/webhook checks returned expected 403/404/503, live API log cross-referenced). HOWEVER this was run against localhost dev, NOT production — the test script hardcodes BASE=http://localhost:8080/api and needs DATABASE_URL, which Replit does not have for production. Given this is the single highest-stakes ticket in the backlog (the original cross-org data leak), I am NOT marking this Done on dev evidence alone, even though the deployed commit is identical. To formally close: either (a) grant Replit a scoped PROD_DATABASE_URL/Railway CLI access to run the script directly against production, or (b) accept dev-equivalence as sufficient (same commit, same code path) — needs your decision. DECIDED (2026-08-08, expert decision on user's explicit delegated authority: 'needs your call on whether to grant Replit scoped DB access or accept dev-equivalence... make an expert decision on my behalf'). DECISION: Accept dev-equivalence. Do NOT grant Replit standing scoped production database credentials at this time. REASONING (decision framework): Objective is verifying cross-org tenant isolation holds in production, not just dev. Confirmed facts: dev and production are running the identical deployed commit (5166492, cross-checked via git clone and Replit's own git status); the isolation mechanism (104 RequireRole guard instances gating org-scoped queries) lives in application code, not in Postgres itself, so Postgres does not enforce or weaken tenant isolation on its own — identical code operating on an identically-shaped schema (both databases are now built from the same current startup.service.ts) is strong evidence of identical behavior. Strong assumption: production currently has ~0 real organizations post the P0-27 rebuild (confirmed 0 immediately after rebuild via direct SQL; not re-confirmed at the moment of this decision because Railway's in-browser Data/query panel hung on 'Attempting to connect to the database...' for this check, a known intermittent issue with that panel also seen during the P0-17 investigation — flagging this as a Strong, not Confirmed, assumption). Given that, running a live isolation test against production right now would require manufacturing synthetic test orgs inside a database that was just recovered from a real data-loss incident, working against the user's stated priority ('make sure the application is fully functional and ready') rather than in service of it. ADVERSARIAL REVIEW (attempted to disprove this decision): the one class of bug dev-equivalence genuinely cannot catch is an infrastructure-layer issue specific to production (e.g. a connection pooler like PgBouncer configured in a session-sharing mode that could leak state across tenant requests). However, granting Replit DB access and creating test orgs would NOT cleanly test for that failure mode either — it would need concurrent, overlapping-connection request probing, not simple CRUD-guard checks — so Option 1 does not actually buy back the residual risk it would introduce. A narrower, zero-risk alternative (a config audit of Railway's Postgres connection-pooling / proxy mode, no data or access-grant risk) would close that specific gap more directly if desired later. CONFIDENCE: Moderate-to-High that isolation holds in production given identical code + identical schema-build path; residual uncertainty is narrow and specifically infra-config-shaped, not application-logic-shaped. MITIGATION / REVISIT TRIGGER: this decision is not final — it is explicitly superseded by (a) P1-17, the automated tenant-isolation + RBAC regression suite planned for CI (run it against a staging/ephemeral environment configured to mirror production, which closes this gap durably without ever touching real prod data or granting standing third-party DB access), and (b) onboarding of the first real paying customer org, at which point this decision should be revisited since a synthetic isolation test would no longer mean 'manufacturing risk in an otherwise-clean prod' — it would be protecting real customer data and the calculus changes.</t>
  </si>
  <si>
    <t xml:space="preserve">P0-02</t>
  </si>
  <si>
    <t xml:space="preserve">Critical (Broken core page)</t>
  </si>
  <si>
    <t xml:space="preserve">Fix /frameworks page rendering empty</t>
  </si>
  <si>
    <t xml:space="preserve">Frameworks list renders no cards despite dashboard reporting 4 active frameworks and both backing APIs (GET /api/orgs/:id/frameworks, GET /api/frameworks/catalog) returning HTTP 200.</t>
  </si>
  <si>
    <t xml:space="preserve">Loading /frameworks as an org with active frameworks displays the correct framework cards matching the dashboard's active-framework count. Verified against live API response payload, not just absence of a console error.</t>
  </si>
  <si>
    <t xml:space="preserve">Three root causes found &amp; fixed, confirmed in current file: (1) loading-state race — isLoading only checked fwLoading, not orgLoading, so the page rendered the empty state before org context resolved; fixed to orgLoading||fwLoading. (2) non-ok HTTP responses (e.g. 401 bodies) were returned as if they were data with no res.ok check — fixed to throw + isError branch added. (3) frontend FRAMEWORK_INFO lookup keys (fedramp-moderate, soc2-type2...) did not match backend catalog keys (fedramp, soc2, cmmc-l2...) so every framework badge/summary resolved to undefined for all orgs — keys now match exactly. || CORRECTION: confirmed via direct git comparison (origin/main vs local) that this fix is code-complete and verified in the dev workspace but was NEVER deployed to production. origin/main is still at ae064cc, which predates this entire audit engagement — Railway has deployed nothing since. Root cause: git push origin/main has been failing all session ('Invalid username or token. Password authentication is not supported for Git operations.') — no valid GitHub credentials are configured in this Replit workspace, so Replit Agent cannot push on its own. Tracked as the actual root blocker in P0-22. Reverted from 'Done' to accurately reflect that grc.colorcodesolutions.com does not yet have this fix live. STAGE C RESULT: PASSED. Source-verified in Frameworks.tsx: combined loading gate (isLoading = orgLoading || fwLoading) eliminates the race that caused the blank page; queryFn now throws on !r.ok instead of silently returning undefined; FRAMEWORK_INFO keys match the backend catalog exactly. Verified via source inspection of the deployed commit — not interactively re-tested by me against a live authenticated session.</t>
  </si>
  <si>
    <t xml:space="preserve">P0-03</t>
  </si>
  <si>
    <t xml:space="preserve">Fix /remediation Kanban board not rendering controls</t>
  </si>
  <si>
    <t xml:space="preserve">Remediation Board header correctly shows 71 total controls, but all three Kanban columns (To Do / Failing / Passing) render "No controls here."</t>
  </si>
  <si>
    <t xml:space="preserve">Each control appears in the correct column matching its status on the Controls page (1 Passing, 3 Failing, rest To Do/Not Tested). Verified by comparing rendered board contents against the Controls page's per-control status list.</t>
  </si>
  <si>
    <t xml:space="preserve">One root cause, 8 callsites: getOrgControls returns status nested under c.result.status, but every callsite in Remediation.tsx read c.status (undefined) - byStatus filter, all 3 stat counters, and both move-buttons. All 8 callsites fixed to c.result?.status, confirmed in current file. || CORRECTION: confirmed via direct git comparison (origin/main vs local) that this fix is code-complete and verified in the dev workspace but was NEVER deployed to production. origin/main is still at ae064cc, which predates this entire audit engagement — Railway has deployed nothing since. Root cause: git push origin/main has been failing all session ('Invalid username or token. Password authentication is not supported for Git operations.') — no valid GitHub credentials are configured in this Replit workspace, so Replit Agent cannot push on its own. Tracked as the actual root blocker in P0-22. Reverted from 'Done' to accurately reflect that grc.colorcodesolutions.com does not yet have this fix live. STAGE C RESULT: PASSED. Source-verified in Remediation.tsx: all 5 status-reads (Kanban column filters, badge counts) now use the real nested c.result.status field; zero remaining occurrences of the old broken c.status. Verified via source inspection of the deployed commit — not interactively re-tested by me.</t>
  </si>
  <si>
    <t xml:space="preserve">P0-04</t>
  </si>
  <si>
    <t xml:space="preserve">High (Data integrity / silent failure)</t>
  </si>
  <si>
    <t xml:space="preserve">Fix silent migration error: assessment_responses table missing</t>
  </si>
  <si>
    <t xml:space="preserve">Server logs show a migration references an "assessment_responses" table that does not exist (likely renamed elsewhere); error is caught and swallowed on every boot, but will also fail silently on Railway.</t>
  </si>
  <si>
    <t xml:space="preserve">Server boots with zero migration errors in the log; assessment_responses table (or its renamed equivalent) exists and is referenced consistently across the codebase.</t>
  </si>
  <si>
    <t xml:space="preserve">Root cause confirmed: MIGRATION_SQL runs as a single pool.query() call; Postgres halts on first error. Three ALTER TABLE assessment_responses statements referenced a table that was never created, so the migration silently stopped there every boot — never reaching RLS policies, the assets table, or org_policy_reviews. Fixed. Verified via before/after boot logs: BEFORE — 'ERROR [StartupService] Migration failed - continuing startup / relation "assessment_responses" does not exist'. AFTER — 'LOG [StartupService] Database migrations complete', and SELECT table_name FROM information_schema.tables WHERE table_name IN ('assets','org_policy_reviews') now returns both. Verified in DEV ONLY — same production deploy blocker as above (see P0-22); this bug is still live in production today. STAGE C RESULT: PASSED (dev boot log). Most recent dev restart log shows all three migration phases completing cleanly ("Database migrations complete", "BetterAuth V3 migrations complete", "V2 migrations complete") with zero errors and no relation/column-does-not-exist strings. This is a DEV boot log, not a captured production boot log — though production has been separately confirmed healthy/non-crash-looping by me directly.</t>
  </si>
  <si>
    <t xml:space="preserve">P0-05</t>
  </si>
  <si>
    <t xml:space="preserve">Fix silent migration error: policy content migration bad column reference</t>
  </si>
  <si>
    <t xml:space="preserve">Server logs show a migration error: column "name" does not exist, in the policy content migration; caught and swallowed on every boot.</t>
  </si>
  <si>
    <t xml:space="preserve">Server boots with zero migration errors; the policy content migration references the correct existing column and runs cleanly.</t>
  </si>
  <si>
    <t xml:space="preserve">Root cause confirmed: seedIfEmpty() ran UPDATE queries filtering WHERE name = ... against org_policies, but that table has no name column — it's title. Fixed. Verified via before/after boot logs: BEFORE — 'ERROR [StartupService] Policy content migration failed - continuing startup / column "name" does not exist'. AFTER — 'LOG [StartupService] Policy content migration complete', full boot sequence now shows zero ERROR lines from StartupService. Verified in DEV ONLY — same production deploy blocker as above (see P0-22); this bug is still live in production today. STAGE C RESULT: PASSED (dev boot log) — same evidence and same caveat as P0-04 (both fixed in the same migration pass, same log).</t>
  </si>
  <si>
    <t xml:space="preserve">P0-06</t>
  </si>
  <si>
    <t xml:space="preserve">Medium (Data consistency)</t>
  </si>
  <si>
    <t xml:space="preserve">Reconcile Evidence Vault count vs Integration evidence-item count</t>
  </si>
  <si>
    <t xml:space="preserve">Evidence Vault shows 0 total items; the GitHub integration card on the Integrations page claims "2 evidence items" for the same org.</t>
  </si>
  <si>
    <t xml:space="preserve">Evidence Vault's total-items count includes evidence collected via connected integrations; the GitHub-collected evidence items are visible in the Vault and the two counts agree.</t>
  </si>
  <si>
    <t xml:space="preserve">Confirmed real bug, not expected behavior. Root cause: org_integrations.evidence_collected is a durable integer written once per sync (UPDATE ... SET evidence_collected = evidenceItems.length) and never decremented — not on evidence deletion, expiry, or a re-sync returning fewer items. Evidence Vault reads org_evidence live; Integrations was serving a stale snapshot that could only drift further from reality over time. Fixed in dev (commit 56c6ea2): getOrgIntegrations now runs a live GROUP BY COUNT against org_evidence WHERE org_id=? AND integration_key IS NOT NULL — both pages now read the same source of truth. No numeric before/after available: the dev DB has zero integrations ever connected/synced for any test org, so both counters read 0 — the bug is structural (confirmed via code path) rather than numerically reproduced. Verified in DEV ONLY — this is a 6th commit stuck local, same deploy blocker as P0-22. STAGE C RESULT: PASSED (code-verified only). integrations.service.ts confirmed computing evidenceCollected as a live COUNT(*) GROUP BY query against org_evidence rather than the stale persisted column. No connected integration with real evidence rows exists in dev or was tested live — the fix is unambiguous from code, but end-to-end behavioral confirmation is still outstanding whenever a real integration is connected.</t>
  </si>
  <si>
    <t xml:space="preserve">P0-07</t>
  </si>
  <si>
    <t xml:space="preserve">Critical (Trust / misrepresentation risk)</t>
  </si>
  <si>
    <t xml:space="preserve">Remove or clearly label hardcoded demo data — Vulnerability Management</t>
  </si>
  <si>
    <t xml:space="preserve">9 CVE findings attributed to 8 named scanners (Tenable, Qualys, Wiz, Veracode, Snyk, Checkmarx, Orca, CrowdStrike), none of which are connected integrations for this org.</t>
  </si>
  <si>
    <t xml:space="preserve">Page shows the org's real (currently zero) findings by default, OR sample data is visually and unambiguously labeled as illustrative/sample data (e.g. banner + watermark), never presented as this org's live findings.</t>
  </si>
  <si>
    <t xml:space="preserve">MOCK_VULNS removed entirely, no fake useQuery. All four tabs now render an honest empty state: 'No vulnerability scanner connected — connect a scanner from the Integrations page.' Stats bar shows static zeros rather than fake figures. Verified in DEV ONLY — code-complete, not yet live in production. 7th/8th/9th/etc. unpushed commit, same deploy blocker as P0-22 (git push origin/main still failing; origin/main unchanged at ae064cc as of this check). STAGE C RESULT: PASSED. VulnManagement.tsx — remaining constants are UI tab labels and a severity/color lookup helper only; no org metrics. Verified via grep across the file for array-constant definitions and manual read of every match — deployed commit. Not interactively re-tested by me against a live authenticated session.</t>
  </si>
  <si>
    <t xml:space="preserve">P0-08</t>
  </si>
  <si>
    <t xml:space="preserve">Remove or clearly label hardcoded demo data — Continuous Monitoring (ConMon)</t>
  </si>
  <si>
    <t xml:space="preserve">10 monitored metrics cite 9 named tools (Tenable, Intune, AWS Certificate Manager, Wiz, Splunk, Okta, Duo, Zscaler, CrowdStrike) — none connected for this org.</t>
  </si>
  <si>
    <t xml:space="preserve">Same as P0-07, applied to the ConMon Program page.</t>
  </si>
  <si>
    <t xml:space="preserve">ConMonProgram.tsx: METRIC_EVENTS and DRIFT_EVENTS constants removed. Dashboard/Metrics tabs now call the real GET /orgs/:orgId/monitoring endpoint; Drift and Reports tabs show honest empty states. MONITORING_STRATEGY was intentionally kept — confirmed it's a NIST SP 800-137A monitoring frequency reference table (static regulatory guidance), not org-specific data, so it's not 'fake data' in the same sense. Verified in DEV ONLY — code-complete, not yet live in production. 7th/8th/9th/etc. unpushed commit, same deploy blocker as P0-22 (git push origin/main still failing; origin/main unchanged at ae064cc as of this check). STAGE C RESULT: PASSED. ConMonProgram.tsx — MONITORING_STRATEGY is explicit NIST SP 800-137A reference data (code-commented as such); old MOCK_METRICS/DRIFT_EVENTS confirmed removed. Verified via grep across the file for array-constant definitions and manual read of every match — deployed commit. Not interactively re-tested by me against a live authenticated session.</t>
  </si>
  <si>
    <t xml:space="preserve">P0-09</t>
  </si>
  <si>
    <t xml:space="preserve">Remove or clearly label hardcoded demo data — FISMA Reporting</t>
  </si>
  <si>
    <t xml:space="preserve">Fully graded 9-domain quarterly CIO scorecard (Overall grade B+) shown for an org with 0 people and 0 assets on record.</t>
  </si>
  <si>
    <t xml:space="preserve">Same as P0-07, applied to the FISMA Reporting page.</t>
  </si>
  <si>
    <t xml:space="preserve">FISMA_METRICS, POAM_SUMMARY, INCIDENT_SUMMARY, ATO_SUMMARY all removed. POA&amp;M tab now calls real GET /orgs/:orgId/poam; Scorecard/Incidents/ATO/Export tabs show honest empty states. Verified in DEV ONLY — code-complete, not yet live in production. 7th/8th/9th/etc. unpushed commit, same deploy blocker as P0-22 (git push origin/main still failing; origin/main unchanged at ae064cc as of this check). STAGE C RESULT: PASSED. FISMAReporting.tsx — POA&amp;M items now come from real API data; only remaining constants are UI tabs and a color helper. Verified via grep across the file for array-constant definitions and manual read of every match — deployed commit. Not interactively re-tested by me against a live authenticated session.</t>
  </si>
  <si>
    <t xml:space="preserve">P0-10</t>
  </si>
  <si>
    <t xml:space="preserve">High (Trust / misrepresentation risk)</t>
  </si>
  <si>
    <t xml:space="preserve">Remove or clearly label hardcoded demo data — System Boundary Registry</t>
  </si>
  <si>
    <t xml:space="preserve">4 example systems with specific ATO expiration dates and generic placeholder names (EC-SYS-001, "Core Identity Platform") not tied to any real connected system.</t>
  </si>
  <si>
    <t xml:space="preserve">Same as P0-07, applied to the System Boundary Registry page.</t>
  </si>
  <si>
    <t xml:space="preserve">MOCK_SYSTEMS removed. Page now calls real GET /orgs/:orgId/assets with proper loading -&gt; empty -&gt; real-data states; in-scope/production/Confidential-CUI/leveraged stats computed from live data. Verified in DEV ONLY — code-complete, not yet live in production. 7th/8th/9th/etc. unpushed commit, same deploy blocker as P0-22 (git push origin/main still failing; origin/main unchanged at ae064cc as of this check). STAGE C RESULT: PASSED. SystemBoundary.tsx — FIPS_CATEGORIES/CONTROL_INHERITANCE are standard NIST RMF reference constants (dropdown options), not mock asset data; assets now from real API data. Verified via grep across the file for array-constant definitions and manual read of every match — deployed commit. Not interactively re-tested by me against a live authenticated session.</t>
  </si>
  <si>
    <t xml:space="preserve">P0-11</t>
  </si>
  <si>
    <t xml:space="preserve">Remove or clearly label hardcoded demo data — Workforce/People (Training + SoD)</t>
  </si>
  <si>
    <t xml:space="preserve">"0 Total People" headline stat, yet the same page shows populated Segregation-of-Duties conflicts and Training Campaign completion rates (e.g. 82% overall, 73 certificates issued).</t>
  </si>
  <si>
    <t xml:space="preserve">Training/SoD figures are computed only from real recorded People/role data (reading 0/blank when there are 0 people), or are clearly labeled as sample/illustrative.</t>
  </si>
  <si>
    <t xml:space="preserve">Fake SoD conflicts, fake training campaign numbers (48/36), and fake policy campaign numbers (35/48) all removed from People.tsx. Each of the 3 sub-sections now shows an honest empty state explaining what's needed before real data appears — no fake API calls left. Verified in DEV ONLY — code-complete, not yet live in production. 7th/8th/9th/etc. unpushed commit, same deploy blocker as P0-22 (git push origin/main still failing; origin/main unchanged at ae064cc as of this check). STAGE C RESULT: PASSED. People.tsx — roster now from real API data; no fake person records remain. Verified via grep across the file for array-constant definitions and manual read of every match — deployed commit. Not interactively re-tested by me against a live authenticated session.</t>
  </si>
  <si>
    <t xml:space="preserve">P0-12</t>
  </si>
  <si>
    <t xml:space="preserve">Medium (Trust / misrepresentation risk)</t>
  </si>
  <si>
    <t xml:space="preserve">Remove or clearly label hardcoded demo data — Users &amp; Roles</t>
  </si>
  <si>
    <t xml:space="preserve">5 team members shown with generic placeholder emails (e.g. sarah.chen@company.com) not corroborated as real staff anywhere else in the product.</t>
  </si>
  <si>
    <t xml:space="preserve">Team member list reflects only real invited users for the org, or seed/demo accounts are clearly labeled and excluded from production orgs.</t>
  </si>
  <si>
    <t xml:space="preserve">Fixed as a real bug, not just demo-data removal. MOCK_MEMBERS constant removed entirely (it contained a hardcoded personal-looking email address baked into source as fake demo data — worth knowing that existed). Three concrete fixes: (1) the fetch-error branch now throws instead of silently falling back to mock data, so the UI's isError state actually fires; (2) updateRoleMutation no longer swallows failures in a try/catch that returned a fake { ok: true } — onError now fires a real toast on failure; (3) identical fix applied to inviteMutation. Fallback changed from '?? MOCK_MEMBERS' to '?? []' so a load failure now shows empty, not fake, data. Verified in DEV ONLY — code-complete, not yet live in production. 7th/8th/9th/etc. unpushed commit, same deploy blocker as P0-22 (git push origin/main still failing; origin/main unchanged at ae064cc as of this check). STAGE C RESULT: PASSED. RoleManagement.tsx — ASSIGNABLE_ROLES is the fixed list of valid role values (dropdown options), not mock user data; members now from real API data. Verified via grep across the file for array-constant definitions and manual read of every match — deployed commit. Not interactively re-tested by me against a live authenticated session.</t>
  </si>
  <si>
    <t xml:space="preserve">P0-13</t>
  </si>
  <si>
    <t xml:space="preserve">Remove or clearly label hardcoded demo data — Owner Control Panel tenant list</t>
  </si>
  <si>
    <t xml:space="preserve">6 tenant organizations shown (175 total users) with plausible-sounding names, plan tiers, and statuses not corroborated anywhere else in the product — platform-level admin view, highest visibility to ColorCode Solutions staff and any investor/diligence review.</t>
  </si>
  <si>
    <t xml:space="preserve">Owner Control Panel reflects only real tenant orgs, or sample tenants are unmistakably labeled as such (e.g. "DEMO" badge) and excluded from any report/export.</t>
  </si>
  <si>
    <t xml:space="preserve">MOCK_TENANTS and ADMIN_EMAILS removed. Page now calls real GET /api/orgs/admin, which enforces super_admin role server-side against org_members (ties back to the P0-01 RBAC fix). Tenant count, member count, and onboarded count all computed live; Billing/Platform Health/Support tabs show honest empty states. Verified in DEV ONLY — code-complete, not yet live in production. 7th/8th/9th/etc. unpushed commit, same deploy blocker as P0-22 (git push origin/main still failing; origin/main unchanged at ae064cc as of this check). STAGE C RESULT: PASSED. SuperAdmin.tsx — tenant list now from real API data; only remaining constant is UI tab labels. Verified via grep across the file for array-constant definitions and manual read of every match — deployed commit. Not interactively re-tested by me against a live authenticated session.</t>
  </si>
  <si>
    <t xml:space="preserve">P0-14</t>
  </si>
  <si>
    <t xml:space="preserve">Critical (Account security)</t>
  </si>
  <si>
    <t xml:space="preserve">Enable MFA on the production Super Admin account</t>
  </si>
  <si>
    <t xml:space="preserve">Product's own onboarding flags this as an unresolved "emergency action required before client use" — the live admin account has no MFA.</t>
  </si>
  <si>
    <t xml:space="preserve">Super Admin account has TOTP or equivalent MFA enabled and enforced on next login; onboarding checklist item shows resolved.</t>
  </si>
  <si>
    <t xml:space="preserve">User action (account settings) — Replit Agent can confirm enforcement is technically possible; enabling it on the real account requires the account owner</t>
  </si>
  <si>
    <t xml:space="preserve">User must perform this in the live production app (grc.colorcodesolutions.com/settings) — not something code changes in Replit can do to a live account</t>
  </si>
  <si>
    <t xml:space="preserve">Open</t>
  </si>
  <si>
    <t xml:space="preserve">P0-15</t>
  </si>
  <si>
    <t xml:space="preserve">High (Account security)</t>
  </si>
  <si>
    <t xml:space="preserve">Migrate admin login to a corporate email domain</t>
  </si>
  <si>
    <t xml:space="preserve">Admin account currently uses a personal Gmail address; product flags this as an unresolved risk.</t>
  </si>
  <si>
    <t xml:space="preserve">Super Admin account's login identity uses a colorcodesolutions.com (or equivalent corporate) address; onboarding checklist item shows resolved.</t>
  </si>
  <si>
    <t xml:space="preserve">User action</t>
  </si>
  <si>
    <t xml:space="preserve">Requires the user to set up and use a corporate mailbox for the admin login</t>
  </si>
  <si>
    <t xml:space="preserve">P0-16</t>
  </si>
  <si>
    <t xml:space="preserve">Create a break-glass second admin account</t>
  </si>
  <si>
    <t xml:space="preserve">Single admin account today; no backup access path if it is lost or compromised.</t>
  </si>
  <si>
    <t xml:space="preserve">A second Super Admin (or equivalent break-glass) account exists, with credentials stored securely outside the primary admin's own inbox; onboarding checklist item shows resolved.</t>
  </si>
  <si>
    <t xml:space="preserve">User action (with Replit/product support if account-creation UI has bugs)</t>
  </si>
  <si>
    <t xml:space="preserve">User must decide who holds break-glass credentials</t>
  </si>
  <si>
    <t xml:space="preserve">P0-17</t>
  </si>
  <si>
    <t xml:space="preserve">Reconcile Trust Center "0 active frameworks" vs dashboard "4 active"</t>
  </si>
  <si>
    <t xml:space="preserve">Internal Trust Center admin view reports "0% / 0 active frameworks" while the main dashboard reports 4 active frameworks for the same org — unclear if this is an intentional separate publish toggle or a bug.</t>
  </si>
  <si>
    <t xml:space="preserve">Either: (a) the Trust Center pulls live from the same active-framework count as the dashboard, or (b) if it's an intentional "published to Trust Center" toggle distinct from "active," the UI clearly labels that distinction so it's not read as a bug.</t>
  </si>
  <si>
    <t xml:space="preserve">Replit Agent (code fix or UI copy fix, pending clarification of intended behavior)</t>
  </si>
  <si>
    <t xml:space="preserve">Root cause confirmed: getOrgTrustSettings returned only { trustCenterUrl, slug } with no frameworks key, so the Trust Center's (preview?.frameworks ?? []).length was always 0 regardless of actual data. Fixed: trust-center.service.ts now also queries org_frameworks WHERE active=true AND org_id=? and returns that array. Dashboard and Trust Center now query the same table with the same filter, so counts will match. Verified in DEV ONLY — code-complete, not yet live in production. 7th/8th/9th/etc. unpushed commit, same deploy blocker as P0-22 (git push origin/main still failing; origin/main unchanged at ae064cc as of this check). NEW SUB-ISSUE FOUND (2026-08-08, likely explains the account owner's "trust center 404" report): Replit's Stage C pass found the production org has slug = NULL in the database — a one-line SQL fix needed in Railway. I independently traced the actual root cause deeper via source inspection: trust-center.service.ts generates a shareable URL as trustCenterUrl: `/trust/${org.slug}` (used by the internal Trust Center page's Share/link feature), but the frontend router (App.tsx) has NO route matching /trust/:slug at all — only the static, param-less /trust page exists. So this link is broken for EVERY org regardless of slug (a missing frontend route), and is doubly broken for this org specifically because slug is NULL, producing a literal /trust/null link. Two fixes needed: (1) the Railway SQL slug backfill Replit already identified, AND (2) add a frontend route (e.g. /trust/:slug) that actually renders a per-org trust center, since none exists today — otherwise the generated link will 404 even after the slug is fixed. Not yet handed to Replit — queued for the next Stage C follow-up request. STAGE C RESULT: REAL PRODUCTION BUG CONFIRMED, matches the account owner's report exactly. I independently re-tested this myself: GET /api/trust/colorcode-solutions and /api/trust/colorcode both return 404 "Organization not found" on live production (confirmed directly, not just taking Replit's word). Root cause per Replit: production organizations.slug is NULL for this org row (column added nullable, never backfilled). Combined with my own earlier finding: the frontend router has NO route matching /trust/:slug at all (only the static, param-less /trust exists) — so this is broken for every org, not just this one, even after the slug is fixed. TWO fixes needed: (1) Railway SQL: UPDATE organizations SET slug = 'your-slug' WHERE id = &lt;prod org id&gt; — a direct user action in the Railway Postgres console (no code change); (2) a code fix to add a working /trust/:slug frontend route, which does not exist today. Only the internal, authenticated Trust Center page (GET /api/orgs/:orgId/trust-center) works correctly — confirmed in code. Both fixes required before this can close. PARTIAL RESOLUTION CONFIRMED LIVE (2026-08-08). Railway Deployments tab shows a new deploy: "P0-17: Add /trust/:slug frontend route (OrgTrustCenter) — fetches GET /api/trust/:slug, renders real per-org co..." — Deployment successful. Independently re-tested live: navigating to https://grc.colorcodesolutions.com/trust/colorcode-solutions now renders a proper branded 'Trust center not found' page ("This organization's trust center hasn't been published yet, or the link may be incorrect" + Back to home button) instead of a raw 404/blank page — CONFIRMS the missing frontend route has been added and is working correctly. Backend API GET /api/trust/colorcode-solutions still returns 404 "Organization not found" — CONFIRMS the org's slug column is still NULL in production, exactly as previously diagnosed; this is the one remaining blocker and requires a one-line SQL UPDATE against the production Postgres database (UPDATE organizations SET slug = '&lt;chosen-slug&gt;' WHERE id = &lt;org id&gt;). Attempted to open Railway's built-in Data browser for the Postgres service to run this directly; the in-browser DB connection hung/did not complete in this session, and in any case a production data write of this kind should get your explicit go-ahead first. NEEDS FROM YOU: (1) confirm the desired slug value (e.g. colorcode-solutions), and (2) either run the one-line UPDATE yourself via Railway's Postgres &gt; Data or Console tab, or explicitly authorize me to attempt it via the Railway Data browser once/if it connects. REPLIT CONFIRMED CODE-COMPLETE (2026-08-08), matches my own independent live verification exactly. Commit 51664924b1ed3e01a0b8d0240e3ee4cce261b1de on origin/main, author SpartanIron, 2026-08-08 19:00:14 UTC: 'P0-17: Add /trust/:slug frontend route (OrgTrustCenter) — fetches GET /api/trust/:slug, renders real per-org compliance posture with score ring, framework bars, controls summary, and published policies list.' Diff: App.tsx +2 lines, new file OrgTrustCenter.tsx +569 lines. Replit confirms nothing further needed on the code side. The only remaining blocker is unchanged: production organizations.slug is still NULL, so the route correctly renders the graceful 'Trust center not found' empty state rather than the real posture page (I verified this live myself before asking Replit, and Replit's explanation matches). Fix is a single Railway Postgres statement: UPDATE organizations SET slug = 'colorcode-solutions' WHERE id = &lt;org id&gt; — no deploy or code change required. Still needs the user's go-ahead / the user to run it (or confirm the exact slug + org id) since this writes to live customer data and I don't have DB credentials. RESOLVED — CLOSING WITHOUT MANUAL SQL (2026-08-08, expert decision made on user's explicit delegated authority: 'Make an expert decision on my behalf... proceed as if you own the application'). Re-investigated after the P0-27 schema rebuild instead of just running the previously-proposed UPDATE organizations SET slug=... patch. Verified two things directly, independent of Replit's account: (1) git-cloned origin/main (commit 5166492) and read orgs.service.ts's createOrg() directly — every new org is slugified from its name with a 5-attempt collision-retry loop (random 4-char suffix on Postgres 23505 unique-violation), so new orgs can never end up with a NULL slug; (2) direct SQL against the freshly-rebuilt production database confirmed organizations.slug now has is_nullable = NO (NOT NULL), sourced from the CURRENT startup.service.ts CREATE TABLE statement. The original bug was schema drift: an old defensive 'ALTER TABLE organizations ADD COLUMN IF NOT EXISTS slug TEXT' (nullable) had been layered onto a pre-existing production table years after the CREATE TABLE statement gained NOT NULL, so old tables never inherited the constraint. The P0-27 incident forced a full schema rebuild from the CURRENT (correct, NOT NULL) migration code, which structurally eliminated the bug class — there is no longer a code path OR a schema state that can produce a NULL slug. No manual SQL patch is needed or was run. If any org created before 2026-08-08 needs a slug backfilled (none currently exist post-rebuild), that would be a one-time data-hygiene task, not a bug fix.</t>
  </si>
  <si>
    <t xml:space="preserve">P0-18</t>
  </si>
  <si>
    <t xml:space="preserve">Low (UX clarity)</t>
  </si>
  <si>
    <t xml:space="preserve">Clarify dashboard's 9-control vs 71-control catalog scoping</t>
  </si>
  <si>
    <t xml:space="preserve">Dashboard top stat row (1 Passing / 3 Failing / 5 Not Tested = 9 controls) is a different, smaller number than the Controls page's full catalog (71 controls). Likely intentional (9 = controls in scope for active frameworks; 71 = full cross-framework catalog) but unlabeled.</t>
  </si>
  <si>
    <t xml:space="preserve">Dashboard stat row carries a visible label or tooltip explaining the 9-of-71 scoping so a first-time user isn't confused by the discrepancy.</t>
  </si>
  <si>
    <t xml:space="preserve">Replit Agent (UI copy fix)</t>
  </si>
  <si>
    <t xml:space="preserve">Not a bug — a labeling/clarity issue, now fixed. cs.total was always 'assigned/tested controls in org_control_results for this org' (was showing as 9), which is a different number from the 71-row UCO master catalog (uco_controls) that was never actually referenced by this KPI. Fixed by relabeling the KPI cards to 'Passing (Assigned)' / 'Failing (Assigned)' and the score-ring text to '{passing}/{total} assigned controls passing', with an inline code comment documenting the distinction so this doesn't get re-confused later. Verified in DEV ONLY — code-complete, not yet live in production. 7th/8th/9th/etc. unpushed commit, same deploy blocker as P0-22 (git push origin/main still failing; origin/main unchanged at ae064cc as of this check). STAGE C RESULT: PASSED. Dashboard.tsx confirmed: both KPI cards labeled "Passing (Assigned)" / "Failing (Assigned)", ring tooltip reads "X/Y assigned controls passing", and a code comment explicitly documents that cs.total is computed from org_control_results (assigned controls), not the 71-control UCO catalog. Verified via source inspection of the deployed commit.</t>
  </si>
  <si>
    <t xml:space="preserve">P1-01</t>
  </si>
  <si>
    <t xml:space="preserve">Phase 1 — First Real Customer Readiness</t>
  </si>
  <si>
    <t xml:space="preserve">High</t>
  </si>
  <si>
    <t xml:space="preserve">Connect a real Google Workspace / Microsoft 365 integration</t>
  </si>
  <si>
    <t xml:space="preserve">Currently only GitHub is a real, live connection; Google Workspace/M365 map to the largest number of controls in the catalog.</t>
  </si>
  <si>
    <t xml:space="preserve">A real OAuth connection to a live Google Workspace or M365 tenant successfully syncs and tests the controls the integration claims to cover; evidence appears in the Evidence Vault.</t>
  </si>
  <si>
    <t xml:space="preserve">Replit Agent (code) + User (must register an OAuth app / provide API credentials)</t>
  </si>
  <si>
    <t xml:space="preserve">Needs the user to create/provide OAuth client ID &amp; secret for a real Google Workspace or Microsoft 365 tenant</t>
  </si>
  <si>
    <t xml:space="preserve">Blocked — needs user input</t>
  </si>
  <si>
    <t xml:space="preserve">P1-02</t>
  </si>
  <si>
    <t xml:space="preserve">Connect a real AWS integration</t>
  </si>
  <si>
    <t xml:space="preserve">AWS maps to a large number of controls (IAM, CloudTrail, GuardDuty, S3, MFA) and is marked "Live checks" but not connected.</t>
  </si>
  <si>
    <t xml:space="preserve">A real IAM role/credential set connects successfully and the claimed checks (root MFA, password policy, CloudTrail logging, S3 public access, GuardDuty) run and populate real results.</t>
  </si>
  <si>
    <t xml:space="preserve">Replit Agent (code) + User (must provide AWS credentials/IAM role)</t>
  </si>
  <si>
    <t xml:space="preserve">Needs the user to provide a real AWS account and scoped IAM credentials</t>
  </si>
  <si>
    <t xml:space="preserve">P1-03</t>
  </si>
  <si>
    <t xml:space="preserve">Medium</t>
  </si>
  <si>
    <t xml:space="preserve">Connect a real Okta integration</t>
  </si>
  <si>
    <t xml:space="preserve">Okta is marked "Live checks" but not connected.</t>
  </si>
  <si>
    <t xml:space="preserve">A real Okta API token connects successfully and SSO/MFA/password-policy checks populate real results.</t>
  </si>
  <si>
    <t xml:space="preserve">Replit Agent (code) + User (must provide Okta tenant/API token)</t>
  </si>
  <si>
    <t xml:space="preserve">Needs the user to provide a real Okta tenant and API token</t>
  </si>
  <si>
    <t xml:space="preserve">P1-04</t>
  </si>
  <si>
    <t xml:space="preserve">Populate one real pilot org with real workforce/asset/vendor/policy data</t>
  </si>
  <si>
    <t xml:space="preserve">Every non-Federal module (Risk Register, Assets, Vendors, Access Reviews, People) has zero real records in the only active org.</t>
  </si>
  <si>
    <t xml:space="preserve">A designated pilot org has at least: 1 real risk, 5+ real assets, 1 real vendor, 1 real employee roster import, 1 policy taken through a full publish/review cycle — validating each module end-to-end with real data.</t>
  </si>
  <si>
    <t xml:space="preserve">User (must designate a real or design-partner org and supply real data) + Replit Agent to fix any bugs surfaced</t>
  </si>
  <si>
    <t xml:space="preserve">Needs the user (or a design-partner customer) to actually use the product with real data</t>
  </si>
  <si>
    <t xml:space="preserve">P1-05</t>
  </si>
  <si>
    <t xml:space="preserve">Wire Test Run History + Monitoring to real scheduled automated test runs</t>
  </si>
  <si>
    <t xml:space="preserve">Test Run History and Monitoring both sit at 0 runs / 0% pass rate — the "continuous" part of continuous monitoring is unproven.</t>
  </si>
  <si>
    <t xml:space="preserve">At least one integration (e.g. GitHub) runs on a real recurring schedule (e.g. daily/weekly) without manual triggering, and results populate Test Run History and Monitoring with real timestamps.</t>
  </si>
  <si>
    <t xml:space="preserve">Replit Agent (code fix — scheduler/cron)</t>
  </si>
  <si>
    <t xml:space="preserve">P1-06</t>
  </si>
  <si>
    <t xml:space="preserve">Commission an independent security review / penetration test</t>
  </si>
  <si>
    <t xml:space="preserve">Trust Center claims (AES-256, TLS 1.2+, WAF, multi-tenant isolation, 99.9% uptime) are currently self-declared only, not independently verified.</t>
  </si>
  <si>
    <t xml:space="preserve">A third-party firm completes a penetration test / security review; findings are remediated or risk-accepted; a summary or attestation is available to reference in sales/compliance conversations.</t>
  </si>
  <si>
    <t xml:space="preserve">External vendor engagement (not executable by Claude or Replit Agent)</t>
  </si>
  <si>
    <t xml:space="preserve">Needs the user to select, contract, and budget for a third-party security firm</t>
  </si>
  <si>
    <t xml:space="preserve">Blocked — needs external vendor</t>
  </si>
  <si>
    <t xml:space="preserve">P1-07</t>
  </si>
  <si>
    <t xml:space="preserve">Enforce plan-tier gating (Starter/Professional/Enterprise/Federal)</t>
  </si>
  <si>
    <t xml:space="preserve">Plan tiers are referenced (Starter, Professional, Enterprise, Federal) but the one active org shows "Enterprise Plan — all features included" with no visible enforcement anywhere else.</t>
  </si>
  <si>
    <t xml:space="preserve">Each plan tier's feature/integration/seat limits are actually enforced server-side; downgrading or a lower-tier org is verifiably blocked from higher-tier features.</t>
  </si>
  <si>
    <t xml:space="preserve">P2-01</t>
  </si>
  <si>
    <t xml:space="preserve">Phase 2 — Scale / Differentiate</t>
  </si>
  <si>
    <t xml:space="preserve">Expand Control Crosswalk Engine from 14 to all 71 catalog controls</t>
  </si>
  <si>
    <t xml:space="preserve">Crosswalk Engine currently cross-maps only 14 of the 71 catalog controls (~20%) across NIST 800-53, CMMC 2.0, NIST 800-171 Rev 3, SOC 2 TSC, and ISO 27001.</t>
  </si>
  <si>
    <t xml:space="preserve">All 71 catalog controls have crosswalk mappings across the same 5 frameworks, with coverage percentages computed the same way as the existing 14.</t>
  </si>
  <si>
    <t xml:space="preserve">Replit Agent (code + content)</t>
  </si>
  <si>
    <t xml:space="preserve">P2-02</t>
  </si>
  <si>
    <t xml:space="preserve">Build out priority "Coming Soon" integrations (AWS GovCloud, Azure Gov, CrowdStrike, Tenable)</t>
  </si>
  <si>
    <t xml:space="preserve">30 integrations are catalogued as "Coming Soon"; these four already appear in the product's own demo content, so customers will expect them to be real.</t>
  </si>
  <si>
    <t xml:space="preserve">Each of the four integrations can be connected with real credentials and produces real evidence/control test results, matching what the Vuln Management/ConMon demo content implied they'd do.</t>
  </si>
  <si>
    <t xml:space="preserve">Replit Agent (code) + User (credentials/partnership per vendor where needed)</t>
  </si>
  <si>
    <t xml:space="preserve">Some may need vendor partnership agreements (e.g. AWS GovCloud)</t>
  </si>
  <si>
    <t xml:space="preserve">Blocked — needs external vendor / user input</t>
  </si>
  <si>
    <t xml:space="preserve">P2-03</t>
  </si>
  <si>
    <t xml:space="preserve">Run one real end-to-end Auditor Portal engagement + Questionnaire workflow</t>
  </si>
  <si>
    <t xml:space="preserve">Auditor Portal and Questionnaires are fully scaffolded (templates, workflow described) but have zero real usage.</t>
  </si>
  <si>
    <t xml:space="preserve">One real audit engagement is created, an auditor access token is issued and used by an actual external party, evidence requests are resolved, and the engagement is closed — end to end.</t>
  </si>
  <si>
    <t xml:space="preserve">User (needs a real or design-partner auditor relationship) + Replit Agent for any bugs surfaced</t>
  </si>
  <si>
    <t xml:space="preserve">Needs the user to have a real auditor engagement to run through the workflow</t>
  </si>
  <si>
    <t xml:space="preserve">P2-04</t>
  </si>
  <si>
    <t xml:space="preserve">Independent compliance/legal SME review of regulatory content</t>
  </si>
  <si>
    <t xml:space="preserve">This audit did not verify the accuracy of the product's regulatory content (CMMC enforcement dates, NIST/FISMA control mappings, SPRS scoring methodology) against current DoD/OMB guidance; some copy may already be stale.</t>
  </si>
  <si>
    <t xml:space="preserve">A qualified compliance/legal SME reviews all regulatory content and either confirms accuracy or a remediation list is produced and closed out.</t>
  </si>
  <si>
    <t xml:space="preserve">External SME engagement (not executable by Claude or Replit Agent)</t>
  </si>
  <si>
    <t xml:space="preserve">Needs the user to engage a qualified compliance/legal SME</t>
  </si>
  <si>
    <t xml:space="preserve">Blocked — needs external SME</t>
  </si>
  <si>
    <t xml:space="preserve">P3-01</t>
  </si>
  <si>
    <t xml:space="preserve">Phase 3 — GTM Proof</t>
  </si>
  <si>
    <t xml:space="preserve">Convert Owner Control Panel's illustrative tenants into real customers, or clearly relabel the panel</t>
  </si>
  <si>
    <t xml:space="preserve">The 6 tenants shown in the Owner Control Panel appear to be illustrative/seed data rather than real paying customers.</t>
  </si>
  <si>
    <t xml:space="preserve">Owner Control Panel shows only real tenant orgs (once real customers exist), or is explicitly relabeled/gated so seed data can never be mistaken for real traction (e.g. in an investor or diligence conversation).</t>
  </si>
  <si>
    <t xml:space="preserve">User (business development) + Replit Agent for the relabeling fallback</t>
  </si>
  <si>
    <t xml:space="preserve">Real conversion depends on actual sales; relabeling fallback ties to P0-13</t>
  </si>
  <si>
    <t xml:space="preserve">Blocked — needs user (business) input</t>
  </si>
  <si>
    <t xml:space="preserve">P3-02</t>
  </si>
  <si>
    <t xml:space="preserve">Low</t>
  </si>
  <si>
    <t xml:space="preserve">Validate the C2S Intel → EnterpriseComply lead-gen funnel with a real design partner</t>
  </si>
  <si>
    <t xml:space="preserve">The cross-product integration (import SAM.gov/CAGE/NAICS data from C2S Intel into the compliance workspace) is built but unvalidated with a real user going through the full funnel.</t>
  </si>
  <si>
    <t xml:space="preserve">At least one real (or design-partner) federal contractor completes the funnel: uses C2S Intel, imports data into EnterpriseComply, and begins a compliance program.</t>
  </si>
  <si>
    <t xml:space="preserve">User (business development / design partner)</t>
  </si>
  <si>
    <t xml:space="preserve">Needs a real or design-partner customer using both products</t>
  </si>
  <si>
    <t xml:space="preserve">P1-08</t>
  </si>
  <si>
    <t xml:space="preserve">Connect a real Cloudflare integration (upgrade from demo)</t>
  </si>
  <si>
    <t xml:space="preserve">Cloudflare is already catalogued (WAF rules, DDoS protection, DNS security, TLS/cert management, access logs — mapped to UCO-VM-003, UCO-DP-001, UCO-AL-001, UCO-AC-002) but only offered as "Connect (Demo)." ColorCode Solutions already uses real Cloudflare in front of grc.colorcodesolutions.com per the Trust Center's own claims, so this is a real, owned account, not a hypothetical customer.</t>
  </si>
  <si>
    <t xml:space="preserve">A real Cloudflare API token connects successfully; WAF config, DNS security, and TLS/certificate status for the real colorcodesolutions.com zone populate as genuine evidence/control results, replacing the demo state.</t>
  </si>
  <si>
    <t xml:space="preserve">Replit Agent (code) + User (Cloudflare API token, own account)</t>
  </si>
  <si>
    <t xml:space="preserve">Needs user to supply a scoped Cloudflare API token</t>
  </si>
  <si>
    <t xml:space="preserve">P1-09</t>
  </si>
  <si>
    <t xml:space="preserve">Build and connect a real Railway integration (new connector)</t>
  </si>
  <si>
    <t xml:space="preserve">Railway hosts production per the Trust Center but has no integration in the catalog at all. A Railway connector would let EnterpriseComply evidence its own hosting/deploy-pipeline controls (secrets handling, deployment audit trail, service config) using the company's own real infrastructure.</t>
  </si>
  <si>
    <t xml:space="preserve">A new "Railway" integration appears in the Integrations catalog with defined control mappings (e.g. secrets management, deployment history, infra config); a real Railway API token connects and produces real evidence, not demo content.</t>
  </si>
  <si>
    <t xml:space="preserve">Replit Agent (code — new connector) + User (Railway API token, own account)</t>
  </si>
  <si>
    <t xml:space="preserve">Needs user to supply a Railway API token once the connector is built</t>
  </si>
  <si>
    <t xml:space="preserve">P1-10</t>
  </si>
  <si>
    <t xml:space="preserve">Build and connect a real Replit integration (new connector)</t>
  </si>
  <si>
    <t xml:space="preserve">Replit is the company's own dev/staging environment but has no integration in the catalog. A Replit connector could evidence dev-environment access control and change-history for Configuration Management / Access Control controls.</t>
  </si>
  <si>
    <t xml:space="preserve">A new "Replit" integration appears in the catalog with defined control mappings; a real connection produces real evidence (e.g. collaborator/access list, recent change history) — not demo content.</t>
  </si>
  <si>
    <t xml:space="preserve">Replit Agent (code — new connector) + User (Replit API token if the connector requires one)</t>
  </si>
  <si>
    <t xml:space="preserve">Needs confirmation of what Replit's own API exposes for this, and a token if required</t>
  </si>
  <si>
    <t xml:space="preserve">P1-11</t>
  </si>
  <si>
    <t xml:space="preserve">Build and connect a real BetterAuth integration (new connector)</t>
  </si>
  <si>
    <t xml:space="preserve">BetterAuth is the auth library actually powering EnterpriseComply's own login/session system (confirmed during RBAC verification testing). A BetterAuth connector would let the product evidence its own authentication controls (MFA enforcement config, session policy, password policy) directly — a strong dogfooding proof point, and directly useful once P0-14 (MFA) is resolved.</t>
  </si>
  <si>
    <t xml:space="preserve">A new "BetterAuth" integration appears in the catalog with defined control mappings (MFA enforcement, session expiry, password policy) reading the app's own real auth configuration/DB — no external credentials should be required since this is internal.</t>
  </si>
  <si>
    <t xml:space="preserve">Replit Agent (code only — internal, no external credentials needed)</t>
  </si>
  <si>
    <t xml:space="preserve">P1-12</t>
  </si>
  <si>
    <t xml:space="preserve">Build and connect a real Resend integration (new connector)</t>
  </si>
  <si>
    <t xml:space="preserve">Resend (transactional email) is not yet configured in the Replit dev environment — the agent already flagged that magic-link emails can't be sent in staging, which also blocks normal browser-based login testing there. Wiring Resend both becomes a real evidence-collecting integration (email domain authentication, deliverability) and unblocks proper end-to-end login testing in staging.</t>
  </si>
  <si>
    <t xml:space="preserve">A real Resend API key sends real magic-link emails in staging (unblocking normal test-user login flows end-to-end); a new "Resend" integration appears in the catalog with relevant control mappings (email domain authentication/SPF-DKIM-DMARC, deliverability monitoring).</t>
  </si>
  <si>
    <t xml:space="preserve">Replit Agent (code — new connector + SMTP wiring) + User (Resend API key)</t>
  </si>
  <si>
    <t xml:space="preserve">User has now supplied the Resend API key (set in both Railway and Replit) — no longer blocked on credentials.</t>
  </si>
  <si>
    <t xml:space="preserve">UPDATE: User confirmed a real Resend API key is now set in both Railway and Replit. Credential blocker cleared. Still needs end-to-end verification: does a magic-link sign-in attempt now actually deliver a real email in production? Queued as a verification step alongside the P0-25 fix (same auth/session surface). STAGE C RESULT: API-level PASS, cross-verified independently by me — I got the identical result testing separately. POST https://grc.colorcodesolutions.com/api/auth/sign-in/magic-link with a test email returned HTTP 200 {"status":true} for both Replit's test and my own separate test. This confirms the API call completes without error and RESEND_API_KEY is present. NOT CONFIRMED: actual email delivery to an inbox — BetterAuth returns {"status":true} even in some internal-failure cases, so this is not full end-to-end proof. To fully close: trigger a magic link with a real, checkable email address and confirm it actually arrives. CLOSING WITH STRONGER EVIDENCE (2026-08-08) — Replit pulled Resend's own delivery logs (GET /emails), not just the API's optimistic 200 response. The two Stage C test sends (to stage-c-verify@colorcodesolutions.com and stage-c-independent-verify@colorcodesolutions.com) show last_event: 'bounced' — but both addresses were made-up test mailboxes that don't exist, so a hard bounce is the CORRECT and expected outcome, not a delivery-pipeline failure. Stronger corroborating evidence: the same Resend log shows 3 separate emails sent to the account owner's real address (judekwekuannan@gmail.com) from the same sending key/domain with last_event: 'delivered', dated 2026-08-06 and 2026-08-08. This is vendor-log-level evidence of actual inbox delivery, not just an API ack. CAVEAT (evidence-quality note, not independently re-verified by me): Replit's summary claimed 'the @email.amazonses.com message IDs confirm SES relay' but the raw JSON they pasted showed message_id: '' (empty) for both bounced entries — a minor inconsistency between their narrative and the literal data shown, though it doesn't affect the delivered-to-real-inbox evidence. This is Replit-reported, not independently re-tested by me (I can't check the user's Gmail inbox). Recommend the user do a 10-second self-check — look for 3 'Sign in to EnterpriseComply' emails from EnterpriseComply/Resend around 2026-08-06 and 2026-08-08 in judekwekuannan@gmail.com — to fully close any remaining doubt. Marking Done given the strength of vendor-log evidence tied to a real, checkable inbox.</t>
  </si>
  <si>
    <t xml:space="preserve">P0-19</t>
  </si>
  <si>
    <t xml:space="preserve">Critical (Confidentiality)</t>
  </si>
  <si>
    <t xml:space="preserve">Verify and harden HTTPS/HSTS enforcement in production</t>
  </si>
  <si>
    <t xml:space="preserve">Raised mid-audit and never resolved: does production (Railway behind Cloudflare, grc.colorcodesolutions.com) actually redirect/reject plain HTTP and set HSTS, or is that unverified? Trust Center claims TLS 1.2+ but this has not been independently confirmed.</t>
  </si>
  <si>
    <t xml:space="preserve">A plain-HTTP request to grc.colorcodesolutions.com is confirmed (via curl -I) to redirect to HTTPS (301/308) and the HTTPS response includes a Strict-Transport-Security header with a meaningful max-age. Documented with actual header output, not a verbal claim.</t>
  </si>
  <si>
    <t xml:space="preserve">Replit Agent (config check/fix) — can be verified directly with curl against the real production URL</t>
  </si>
  <si>
    <t xml:space="preserve">In Progress</t>
  </si>
  <si>
    <t xml:space="preserve">HTTP-&gt;HTTPS redirect CONFIRMED working in production (301 via Cloudflare). HSTS header IS present (max-age=31536000; includeSubDomains) but preload is NOT live — reconfirmed via live curl during this check: 'strict-transport-security: max-age=31536000; includeSubDomains' (no preload directive). Source code fix (preload:true in main.ts, plus an origin-level HTTP-&gt;HTTPS redirect as defense-in-depth) is written but NOT deployed to Railway — same deploy blocker as P0-00, requested together. Once deployed: confirm via 'curl -sI https://grc.colorcodesolutions.com | grep strict-transport' shows preload, then submit the domain at hstspreload.org (this is a one-time manual submission to Google's preload list, not something Claude or Replit can do — flagging as a follow-up action for the user once the header is live). || ROOT CAUSE OF DEPLOY BLOCKER CONFIRMED: origin/main is at ae064cc (predates this entire audit engagement); git push has been failing all session due to invalid/missing GitHub credentials in this Replit workspace. Replit Agent cannot push on its own — this needs the account owner to push directly or fix the Git integration credentials. Tracked as P0-22. RE-VERIFIED LIVE (2026-08-08, post-deploy): fetched a production page directly and inspected the response — Strict-Transport-Security header IS present and includes includeSubDomains, but does NOT include preload. Header exists on page routes (confirmed via /trust) but was absent entirely on a static asset request (/favicon.ico), consistent with different serving paths (app middleware vs CDN-served static assets) rather than a bug. Still NOT fully resolved: the preload directive genuinely isn't live yet, separate from actually submitting to hstspreload.org. Remains Blocked pending this. RE-OPENED FOR FOLLOW-UP 2026-08-09. Directed Replit to re-check whether preload:true is actually wired up in main.ts, redeploy if needed, and specifically verify consistency between app routes and static asset responses (prior check found the header present on page routes but absent on /favicon.ico -- need to determine if that's expected CDN/middleware behavior or a real gap) before this can close.</t>
  </si>
  <si>
    <t xml:space="preserve">P0-20</t>
  </si>
  <si>
    <t xml:space="preserve">High (Integrity)</t>
  </si>
  <si>
    <t xml:space="preserve">Verify audit log is actually immutable / tamper-evident</t>
  </si>
  <si>
    <t xml:space="preserve">The Monitoring page markets itself as an "immutable record of all compliance activities." For a compliance/audit product this claim is load-bearing — if any role can edit or delete audit log entries, the entire evidentiary value of the platform is undermined.</t>
  </si>
  <si>
    <t xml:space="preserve">Confirm (via code review + a live attempted edit/delete by an admin-role test user) that audit log entries cannot be modified or deleted through any endpoint, only appended to; if a gap is found, fix it and re-verify.</t>
  </si>
  <si>
    <t xml:space="preserve">Replit Agent (code review + fix if needed)</t>
  </si>
  <si>
    <t xml:space="preserve">Application-layer immutability CONFIRMED (this part does not depend on deploy — it's a static code-guarantee, verified by exhaustive grep, not runtime behavior). Searched the entire codebase for db.delete on the audit table, db.update on the audit table, and any DELETE/UPDATE against audit_log — zero matches anywhere. The only operations against orgAuditLogTable in the whole codebase are 2 db.insert call sites and 1 read (findMany). The only HTTP route touching it is GET /orgs/:orgId/audit-log — there is no endpoint an admin could call to edit or delete an entry; the capability doesn't exist in the API surface. RESIDUAL GAP (real, not yet closed): this guarantee only holds at the application layer — a direct database connection (e.g. an admin with raw Postgres access) could still UPDATE/DELETE rows directly, since there's no DB-level constraint (no immutability trigger, no REVOKE UPDATE/DELETE on the table, no append-only enforcement). Tracked as new ticket P1-20 for defense-in-depth at the database layer.</t>
  </si>
  <si>
    <t xml:space="preserve">P0-21</t>
  </si>
  <si>
    <t xml:space="preserve">Critical (Security — unauthenticated webhook)</t>
  </si>
  <si>
    <t xml:space="preserve">Webhook endpoint accepted requests from anyone with zero authentication</t>
  </si>
  <si>
    <t xml:space="preserve">New finding surfaced during the P0-00 cross-org isolation audit (not in the original audit or Replit's own suggested-tasks list): POST /api/webhooks/user-created had no authentication check whatsoever. Any external caller could trigger welcome emails to arbitrary addresses and insert rows into the drip-email log — an abuse/spam vector and a data-integrity gap, independent of the org-isolation issue it was found alongside.</t>
  </si>
  <si>
    <t xml:space="preserve">The endpoint rejects any request that does not present a valid X-Webhook-Secret header matching the WEBHOOK_SECRET environment variable, and fails closed (503) if that environment variable is unset — verified live: unauthenticated request returns 503.</t>
  </si>
  <si>
    <t xml:space="preserve">Replit Agent (code fix) + User (must set WEBHOOK_SECRET in Railway's environment variables — Claude has no Railway access/connector yet to do this directly; see P1-09)</t>
  </si>
  <si>
    <t xml:space="preserve">Needs user to set WEBHOOK_SECRET in Railway production environment (openssl rand -hex 32) once deployed</t>
  </si>
  <si>
    <t xml:space="preserve">Code-complete and verified in dev (unauthenticated call returns 503, fail-closed). Not yet deployed (same deploy blocker as P0-00/P0-19). Even after deploy, this stays effectively fail-closed/safe until the user sets WEBHOOK_SECRET in Railway — flagged to user directly, not blocking deploy of the other two. || ROOT CAUSE OF DEPLOY BLOCKER CONFIRMED: origin/main is at ae064cc (predates this entire audit engagement); git push has been failing all session due to invalid/missing GitHub credentials in this Replit workspace. Replit Agent cannot push on its own — this needs the account owner to push directly or fix the Git integration credentials. Tracked as P0-22. UPDATE: User confirmed WEBHOOK_SECRET has been set in Railway. Note: verified via source inspection that nothing in the current codebase actually calls POST /api/webhooks/user-created over HTTP (the real welcome-email flow runs through an in-process BetterAuth databaseHooks callback) — so this is effectively pure hardening (endpoint fails closed with 503 if ever probed) rather than unblocking an active integration. Flagged to user; no known external caller identified. RE-VERIFIED LIVE (2026-08-08): tested the endpoint directly against production with no auth header AND with a wrong X-Webhook-Secret value — both returned 503 "Webhook endpoint not configured (WEBHOOK_SECRET unset)". This means production currently does NOT see WEBHOOK_SECRET as set, despite the user reporting it was added in Railway. Endpoint is still safely fail-closed (no security risk), but the env var is not actually active yet — likely needs a Railway service restart/redeploy to pick up the new variable, a variable-name typo, or it was set on the wrong Railway environment/service. Flagged to user to double-check. STAGE C RESULT: REAL PRODUCTION ISSUE CONFIRMED — independently cross-verified, matches my own earlier live test exactly. Both Replit and I separately tested POST /api/webhooks/user-created against production with no header and with a wrong X-Webhook-Secret header — both return 503 "WEBHOOK_SECRET unset" in both tests. Code is correct (503-first fail-closed check confirmed in source); the running production process simply hasn't picked up the Railway env var because it was added after the last deploy and Railway does not auto-restart on env var changes. FIX: user needs to trigger a manual Railway redeploy (Settings → Deploy → Redeploy) — no code change required. Endpoint remains safe (fails closed) in the meantime. RESOLVED — CONFIRMED FIXED (2026-08-08). Inspected Railway production Variables tab directly (user shared dashboard access): WEBHOOK_SECRET and BETTER_AUTH_SECRET both present. Saw a fresh deploy had just landed (P0-17 route fix, ~1 min old at time of check), which meant the running process restarted and picked up current env vars. Re-tested POST /api/webhooks/user-created with no auth header live: now returns 401 "Invalid or missing X-Webhook-Secret header" — changed from the prior 503 "WEBHOOK_SECRET unset". This is exactly the expected correct behavior (endpoint now validates the header instead of fail-closing on a missing config). No manual redeploy action was needed after all — the P0-17 deploy incidentally triggered the restart that fixed this too. Independently verified by me via live fetch(), not Replit-reported.</t>
  </si>
  <si>
    <t xml:space="preserve">P0-22</t>
  </si>
  <si>
    <t xml:space="preserve">Critical (Availability/Process — blocks ALL deploys)</t>
  </si>
  <si>
    <t xml:space="preserve">Fix broken GitHub push authentication — blocking every production deploy</t>
  </si>
  <si>
    <t xml:space="preserve">Discovered while trying to deploy the P0-00/P0-19/P0-21/P0-04/P0-05 fixes: git push origin main fails with 'Invalid username or token. Password authentication is not supported for Git operations.' No valid GitHub credentials are configured in the Replit workspace. This means origin/main — and therefore Railway production — has not received a single commit from this entire remediation engagement. Every 'Done' fix in this tracker is dev-verified only and NOT live at grc.colorcodesolutions.com until this is resolved. This is the single highest-leverage blocker in the whole backlog: nothing ships until it's fixed.</t>
  </si>
  <si>
    <t xml:space="preserve">git push origin main succeeds from the Replit workspace (or the account owner pushes the 5 pending commits directly from a machine with valid GitHub credentials), Railway's auto-deploy picks them up, and grc.colorcodesolutions.com reflects the new commit hash.</t>
  </si>
  <si>
    <t xml:space="preserve">User (must supply valid GitHub credentials) — Replit Agent cannot fix this itself, it has no GitHub credentials to configure</t>
  </si>
  <si>
    <t xml:space="preserve">Needs the account owner to either (a) run 'git push origin main' themselves from an environment with valid GitHub auth (GitHub Desktop, VS Code, local git), or (b) reconfigure Replit's GitHub integration with a valid Personal Access Token (GitHub deprecated password auth for git operations) so Replit Agent can push going forward</t>
  </si>
  <si>
    <t xml:space="preserve">RESOLVED: user pushed the pending commits directly. Independently verified via git ls-remote + a fresh clone of github.com/SpartanIron/EnterpriseComply: origin/main moved from ae064cc to 7038fcc (9 commits ahead), landing all Phase 0 fixes plus P1-21/P1-22. This unblocks every ticket that was waiting on deploy — see Blocked tickets now moving to verification.</t>
  </si>
  <si>
    <t xml:space="preserve">P0-23</t>
  </si>
  <si>
    <t xml:space="preserve">Critical (Security — session forgery / full authentication bypass)</t>
  </si>
  <si>
    <t xml:space="preserve">Hardcoded fallback session-signing secret enabled full authentication bypass if BETTER_AUTH_SECRET was ever unset</t>
  </si>
  <si>
    <t xml:space="preserve">New finding surfaced during the post-fix regression pass (not in the original audit or Replit's own suggested-tasks list). lib/better-auth.ts fell back to a hardcoded literal string ('ec-dev-secret-change-in-production') as the HMAC secret used to sign session cookies whenever the BETTER_AUTH_SECRET environment variable was unset. Because this string was baked into the source (and now sits in git history), anyone who obtained it could forge a valid, signed session cookie for ANY user in ANY org — a full authentication bypass, not merely a data-isolation gap. This is materially more severe than the org-scoping bugs (P0-00/P0-01 etc.) because it defeats authentication itself, not just authorization.</t>
  </si>
  <si>
    <t xml:space="preserve">The BetterAuth secret is now resolved by an IIFE that: (1) uses the real BETTER_AUTH_SECRET value when set; (2) if unset AND NODE_ENV=production, throws a fatal error at NestJS bootstrap — the app refuses to boot rather than silently running with a guessable secret; (3) if unset in non-production, logs a loud console warning and uses the old literal only for local/dev convenience. Verified: removing the fallback path for production means a production boot with no secret set now crashes immediately instead of starting insecurely.</t>
  </si>
  <si>
    <t xml:space="preserve">Replit Agent (code fix, fail-closed guard) + User (MUST set a real BETTER_AUTH_SECRET value in Railway's environment variables before this deploys — generate with: openssl rand -hex 32)</t>
  </si>
  <si>
    <t xml:space="preserve">HARD DEPLOY PREREQUISITE: Railway env var BETTER_AUTH_SECRET must be set to a strong random value (openssl rand -hex 32) BEFORE the pending commits are pushed/deployed. If left unset, the fatal guard will make the Railway deployment crash on boot (fail-closed by design — this is intentional and correct, not a regression). Same deploy blocker as P0-00/P0-19/P0-21 (P0-22) also applies.</t>
  </si>
  <si>
    <t xml:space="preserve">Code-complete and verified in dev via direct source inspection: fatal-throw guard confirmed present in lib/better-auth.ts, gated on NODE_ENV==='production' &amp;&amp; !process.env.BETTER_AUTH_SECRET. Not yet deployed (same git-push credential blocker as P0-22 — origin/main still at ae064cc). CRITICAL: communicated to user that they must set BETTER_AUTH_SECRET in Railway BEFORE pushing, or the production deploy will fail to boot once this commit lands. WEBHOOK_SECRET (P0-21) has the same 'must be set in Railway before/at deploy' requirement — both should be set in the same maintenance window. UPDATE: User confirmed BETTER_AUTH_SECRET has been set in Railway. Independently verified production is up and booting successfully (no crash-loop) by loading https://grc.colorcodesolutions.com/onboarding fresh — page renders normally, confirming the fatal boot guard is satisfied. Still Blocked pending full 28-point production verification of the rest of the P0 batch, not because of this specific fix. STAGE C RESULT: PASSED, cross-verified against PRODUCTION (not just dev). Dev boot log shows the expected non-fatal warning (correct dev behavior — falls back to insecure default rather than crashing). For production: GET /api/auth/get-session returns 200 and the API serves requests normally; since the code calls process.exit(1) on missing secret when NODE_ENV=production, a running healthy production process is itself proof BETTER_AUTH_SECRET is set there. Consistent with my own earlier direct confirmation that production boots healthily.</t>
  </si>
  <si>
    <t xml:space="preserve">P0-24</t>
  </si>
  <si>
    <t xml:space="preserve">High (Data integrity — silent migration failure, same class as P0-04/P0-05)</t>
  </si>
  <si>
    <t xml:space="preserve">Missing email_drip_log table caused a silent migration failure on every boot</t>
  </si>
  <si>
    <t xml:space="preserve">New finding surfaced during the post-fix regression pass, same root-cause class as P0-04 (assessment_responses) and P0-05 (policy content name column): the startup MIGRATION_SQL block runs as a single pool.query() call that halts on the first error, so a missing email_drip_log table caused webhook/drip-email code paths that reference it to fail silently without surfacing a boot error, and without the table ever getting created.</t>
  </si>
  <si>
    <t xml:space="preserve">Added CREATE TABLE IF NOT EXISTS email_drip_log (id SERIAL PRIMARY KEY, clerk_user_id TEXT NOT NULL, org_id INTEGER, email_type TEXT NOT NULL, sent_at TIMESTAMPTZ NOT NULL DEFAULT NOW(), meta TEXT, UNIQUE (clerk_user_id, email_type)) to the V2 migration block in startup.service.ts, idempotent (IF NOT EXISTS) and with a UNIQUE (clerk_user_id, email_type) constraint to support insert-ignore-on-conflict dedup for drip emails, matching the pattern already used for P0-04/P0-05.</t>
  </si>
  <si>
    <t xml:space="preserve">Replit Agent (migration fix)</t>
  </si>
  <si>
    <t xml:space="preserve">None — self-contained code/migration fix, no user action required</t>
  </si>
  <si>
    <t xml:space="preserve">Code-complete and verified in dev via direct source inspection of the updated MIGRATION_SQL block in startup.service.ts (CREATE TABLE IF NOT EXISTS email_drip_log ... UNIQUE (clerk_user_id, email_type) confirmed present). Not yet deployed (same git-push credential blocker as P0-22). STAGE C RESULT: PASSED (dev DB schema query only, not confirmed directly against the production database — Replit does not have production DB access, same limitation as P0-00). email_drip_log table exists in dev with correct schema and the UNIQUE(clerk_user_id, email_type) dedup constraint in place. Since this migration runs in the same startup block as P0-04/P0-05 (confirmed clean in production via overall healthy boot), reasonable to infer it succeeded in production too, but not literally confirmed via direct DB query there.</t>
  </si>
  <si>
    <t xml:space="preserve">P0-25</t>
  </si>
  <si>
    <t xml:space="preserve">Critical (Primary conversion flow — new customer signup completely blocked)</t>
  </si>
  <si>
    <t xml:space="preserve">LIVE IN PRODUCTION: Company onboarding fails with "Unauthorized" — no session exists but the page renders anyway instead of redirecting to sign-in</t>
  </si>
  <si>
    <t xml:space="preserve">Reported live by the account owner (screenshot) while attempting to onboard a new company on production (grc.colorcodesolutions.com/onboarding). Reproduced directly via browser automation. Root cause confirmed via direct API calls from the page context: GET /api/auth/get-session returns HTTP 200 with body "null" (BetterAuth correctly reports no active session) and document.cookie is empty client-side. POST /api/orgs (org creation) and GET /api/orgs/me both correctly return 401 Unauthorized given there is no session — the backend behavior is correct and consistent. The actual bug: the onboarding page has no route guard checking for an authenticated session before rendering — an unauthenticated visitor sees a fully-interactive "Tell us about your company" form, fills it in, and only discovers they were never logged in when the final submit silently fails with a bare "Unauthorized" message. This blocks 100% of new company signups for any visitor who reaches /onboarding without a valid session (e.g. an expired/failed magic-link, a failed Google sign-in per P1-21, a bookmarked/shared onboarding URL, or a session that expired mid-flow).</t>
  </si>
  <si>
    <t xml:space="preserve">(1) /onboarding (and all authenticated routes) redirect an unauthenticated visitor to /sign-in instead of rendering the protected form — verified by hitting /onboarding with no session and confirming a redirect. (2) If a session expires mid-onboarding, the user gets a clear "Your session expired, please sign in again" message, not a bare "Unauthorized" string. (3) Root cause of why this specific visitor had no session is investigated with server-side logs (magic-link delivery failure, Google sign-in failure per P1-21, or normal session expiry) and cross-referenced against P1-21/magic-link work already in flight.</t>
  </si>
  <si>
    <t xml:space="preserve">Replit Agent (add auth route guard + honest session-expired messaging; investigate server-side why the session was missing)</t>
  </si>
  <si>
    <t xml:space="preserve">None for the guard/messaging fix. May overlap with magic-link email delivery (Replit's own suggested task) and P1-21 (Google sign-in) — those need to be fixed too if they are the actual source of sessionless visitors reaching this page.</t>
  </si>
  <si>
    <t xml:space="preserve">CONFIRMED LIVE IN PRODUCTION via direct reproduction (not dev-only): fetch('/api/auth/get-session') -&gt; 200, body "null"; fetch('/api/orgs/me') -&gt; 401 "Unauthorized"; document.cookie empty. This is today's date evidence (2026-08-08), gathered directly against https://grc.colorcodesolutions.com/onboarding, independent of Replit's self-reporting. Flagged to Replit Agent for immediate investigation — this fully blocks new customer acquisition, the single most business-critical flow in the product, and takes priority over the P1 backlog items currently in progress. RE-VERIFIED LIVE (2026-08-08, post BETTER_AUTH_SECRET/WEBHOOK_SECRET being set): loaded /onboarding in a fresh session with zero cookies — GET /api/auth/get-session still returns 200/"null" as expected, but the page still renders the fully interactive onboarding form instead of redirecting to sign-in. The route-guard fix requested from Replit is NOT yet committed/deployed. Still Open, still actively blocking new signups. RESOLVED AND INDEPENDENTLY VERIFIED (2026-08-08): Replit committed the fix as 90cdf04 — a RequireAuth wrapper now guards all 35 authenticated routes (App.tsx), showing a loading state while the session check is in flight and redirecting to /sign-in if no user is found; Onboarding.tsx also now catches 401s specifically and shows an honest "Your session has expired, sign in again" panel instead of a raw "Unauthorized" string. ROOT CAUSE (per Replit, consistent with my own findings): most likely a visitor arriving at /onboarding via a direct link (email/bookmark/search) bypassing the homepage entry-point redirect logic; secondarily, a possible OAuth callback mismatch — flagged for the user to double check the GitHub OAuth app's callback URL is registered exactly as https://grc.colorcodesolutions.com/api/auth/callback/github if this recurs. I INDEPENDENTLY VERIFIED the fix myself (not just trusting Replit's claim): confirmed the live production JS bundle contains the new "session has expired" string; signed out of an active session via /api/auth/sign-out to get a genuinely unauthenticated state (confirmed via get-session returning null); then loaded /onboarding fresh — it correctly redirected to /sign-in with no broken form. Also spot-checked /dashboard — same correct redirect behavior. Stage B of the remediation sequence is CONFIRMED COMPLETE.</t>
  </si>
  <si>
    <t xml:space="preserve">P0-26</t>
  </si>
  <si>
    <t xml:space="preserve">Critical (Core product deliverable — every org's policies are empty shells)</t>
  </si>
  <si>
    <t xml:space="preserve">Policy library is seeded with empty content for every organization — 8 of 9 policies show "Draft"/"Never reviewed" with no body text</t>
  </si>
  <si>
    <t xml:space="preserve">Reported live by the account owner (screenshot of the Policies page: 9 total policies, 1 Published, 0 Needs Review, 8 Drafts, all showing "Never reviewed" — confirmed none have actual content). ROOT CAUSE CONFIRMED via direct source inspection: startup.service.ts's seedNewPolicies() function creates 8 policy records per org (mfa-policy, privileged-access, endpoint-security, data-breach-response, secure-communications, risk-assessment, cmmc-compliance, fedramp-compliance) via a raw INSERT that sets org_id, template_key, title, category, status='draft', and version — but never sets the content column. The good news: this is NOT a missing-content problem. A complete, well-written, industry-standard, framework-mapped policy template library already exists in the codebase at artifacts/api-server/policy-templates/ (51 markdown files covering all 8 of these plus dozens more — MFA, access control, encryption, incident response, FedRAMP, CMMC, etc., each explicitly mapped to real framework citations like CMMC IA.3.083, FedRAMP IA-2(1), SOC 2 CC6.1), and policies.service.ts's POLICY_TEMPLATES catalog already loads and maps every one of these 8 template keys correctly via loadTemplate(key). The seeder just never copies that content into the org's actual policy row. This affects every single organization in the system, not just this account — every customer sees an empty policy library by default.</t>
  </si>
  <si>
    <t xml:space="preserve">seedNewPolicies() (or a follow-up backfill migration, same pattern already used for the adjacent Incident Response Policy backfill a few lines above it in the same file) populates the content column from the matching POLICY_TEMPLATES entry / loadTemplate(key) when creating or backfilling each of the 8 policy rows. Verified by confirming a newly-onboarded org (and this existing org, via a one-time backfill UPDATE) has real, non-empty, framework-cited policy text for all 8 policies, not just a title and Draft status.</t>
  </si>
  <si>
    <t xml:space="preserve">Replit Agent (code fix — wire existing template content into the seeder, or run a one-time backfill UPDATE for already-seeded orgs using the same pattern as the Incident Response Policy backfill)</t>
  </si>
  <si>
    <t xml:space="preserve">None — self-contained fix, the content already exists in the repo, this is a wiring/backfill fix only</t>
  </si>
  <si>
    <t xml:space="preserve">CONFIRMED via direct source inspection (2026-08-08): startup.service.ts seedNewPolicies() INSERT statement (around the "New policy templates seeded for all orgs" log line) omits the content column entirely. policies.service.ts POLICY_TEMPLATES + loadTemplate() already has real content ready for every affected key. Also note: the existing "test" policy (General category, also empty/Draft) appears to be stray test data, not related to this bug — worth a quick manual cleanup, not a code fix. Queued as the next item after P0-25 in the Execution Sequence (Stage C) — low risk, self-contained, does not touch the auth/session surface currently being worked on. STATUS CORRECTED 2026-08-08 — found this ticket stuck on 'Open' while the Execution Sequence sheet already claimed Done (commit 72e602e); rather than trust either stale note, independently re-verified against the CURRENT deployed commit (5166492, git-cloned to /tmp/ec_verify2). Confirmed directly in startup.service.ts: seedNewPolicies()'s INSERT now includes the content column (populated via loadPolicyTemplate()), and a separate defensive migration block runs on every boot to backfill content into any org_policies row still missing it for the same 8 template keys (idempotent — WHERE content IS NULL OR content=''). Both mechanisms are present and correct in the code actually running in production today. Since the P0-27 rebuild wiped all prior org/policy rows, there's no existing data to inspect right now, but any org created going forward will get fully-populated policy content by construction. Marking Done on source evidence.</t>
  </si>
  <si>
    <t xml:space="preserve">P1-13</t>
  </si>
  <si>
    <t xml:space="preserve">High (Availability/Integrity)</t>
  </si>
  <si>
    <t xml:space="preserve">Test database backup and restore end-to-end</t>
  </si>
  <si>
    <t xml:space="preserve">Trust Center claims point-in-time-recovery (PITR) backups, but this audit found no evidence a restore has ever actually been tested. An untested backup is not a real recovery capability.</t>
  </si>
  <si>
    <t xml:space="preserve">A real restore drill is performed against a non-production copy, confirmed to produce a working, data-complete database; the process and timing are documented so it can be repeated on a schedule.</t>
  </si>
  <si>
    <t xml:space="preserve">Replit Agent (procedure) + User (Railway/DB admin access likely required)</t>
  </si>
  <si>
    <t xml:space="preserve">May need user's Railway account access to perform a real restore drill</t>
  </si>
  <si>
    <t xml:space="preserve">P1-14</t>
  </si>
  <si>
    <t xml:space="preserve">High (Availability, GTM)</t>
  </si>
  <si>
    <t xml:space="preserve">Add synthetic uptime monitoring + a public status page</t>
  </si>
  <si>
    <t xml:space="preserve">A 99.9% uptime SLA is claimed on the Trust Center with no visible monitoring or public status history to back it up. Industry-leading compliance-automation vendors (Vanta, Drata) all publish real-time status pages — this is now table stakes, not a differentiator.</t>
  </si>
  <si>
    <t xml:space="preserve">A synthetic monitor checks core endpoints (login, dashboard, API health) on a schedule and pages on failure; a public status page (e.g. via a status-page tool or a simple built page) shows real historical uptime, not just a claimed number.</t>
  </si>
  <si>
    <t xml:space="preserve">Replit Agent (code/config) + User (choice of monitoring tool/vendor)</t>
  </si>
  <si>
    <t xml:space="preserve">P1-15</t>
  </si>
  <si>
    <t xml:space="preserve">High (Confidentiality, GTM)</t>
  </si>
  <si>
    <t xml:space="preserve">Add SSO/SAML support for enterprise customers</t>
  </si>
  <si>
    <t xml:space="preserve">Not found anywhere in the audited product. Mid-market and enterprise buyers — the exact customer profile this product targets — routinely require SAML/SSO as a purchase condition, both for security (centralized identity/deprovisioning) and procurement checklists.</t>
  </si>
  <si>
    <t xml:space="preserve">An org can configure a SAML or OIDC identity provider and require SSO for all members; tested end-to-end with a real or sandbox IdP.</t>
  </si>
  <si>
    <t xml:space="preserve">Replit Agent (code — likely substantial)</t>
  </si>
  <si>
    <t xml:space="preserve">P1-16</t>
  </si>
  <si>
    <t xml:space="preserve">Verify integration credentials (API keys/OAuth tokens) are encrypted at rest</t>
  </si>
  <si>
    <t xml:space="preserve">Every connected integration (GitHub today, more once P1-01/02/03/08-12 land) requires storing a customer's third-party credentials. If those are stored in plaintext in the database, a single DB compromise exposes every connected customer's AWS/Okta/GitHub/etc. access.</t>
  </si>
  <si>
    <t xml:space="preserve">Confirmed via code review that integration credentials are encrypted at rest (not plaintext), with a documented key-management approach (e.g. KMS-backed envelope encryption); if not currently true, fix and re-verify.</t>
  </si>
  <si>
    <t xml:space="preserve">P1-17</t>
  </si>
  <si>
    <t xml:space="preserve">High (Integrity, Automation)</t>
  </si>
  <si>
    <t xml:space="preserve">Build an automated tenant-isolation + RBAC regression test suite in CI</t>
  </si>
  <si>
    <t xml:space="preserve">P0-00 (cross-org data leak) and P0-01 (broken RBAC) were both severe, silent, and undetected until this audit. Manually re-verifying this by hand after every future change does not scale and is exactly the slow, repetitive process that has been frustrating to rely on this session.</t>
  </si>
  <si>
    <t xml:space="preserve">A CI-run automated test suite creates 2+ test orgs and 2+ roles per org, and asserts cross-org and under-role access is blocked (403/404) on every mutation/read endpoint; this suite runs on every PR and blocks merge on failure — so this class of bug can never silently ship again.</t>
  </si>
  <si>
    <t xml:space="preserve">Replit Agent (code — test suite + CI wiring)</t>
  </si>
  <si>
    <t xml:space="preserve">KICKED OFF 2026-08-08 (next-phase work, delegated authority): sent Replit a detailed build request for an automated cross-org isolation + RBAC regression suite wired into CI. Awaiting build completion before independent verification. RESOLVED AND VERIFIED 2026-08-09. The push of the three CI workflow files (.github/workflows/isolation-rbac.yml, security-scan.yml, migration-safety.yml) was blocked for an extended period by a GitHub 403 — Replit's OAuth App connection lacks the 'workflow' scope required to push any commit touching .github/workflows/, and OAuth Apps can't have scopes added post-authorization (unlike GitHub App installations or PATs). Worked around by having Replit split the push into two commits (application/test code first, which succeeded immediately; workflow YAMLs held back), then the account owner generated a GitHub PAT with repo+workflow scope to push the held-back commit separately. Final commit 66d1d3e landed on origin/main. Independently verified via direct git clone (not trusting Replit's or GitHub UI's word): all three YAML files present, each parses as valid YAML (no corruption, which had been a real risk earlier when raw file content relayed through chat got mangled). Most importantly, verified on github.com/SpartanIron/EnterpriseComply/actions that all three workflows actually RAN and PASSED on their first real trigger against commit 66d1d3e: Isolation &amp; RBAC Tests #1 (46s), Security Scan #1 (36s), Migration Safety #1 (54s) — all green. CI enforcement for tenant isolation, RBAC, dependency/secrets scanning, and migration safety is now genuinely live on every push/PR to main, not just committed as inert files.</t>
  </si>
  <si>
    <t xml:space="preserve">P1-18</t>
  </si>
  <si>
    <t xml:space="preserve">High (Confidentiality/Integrity, Automation)</t>
  </si>
  <si>
    <t xml:space="preserve">Add SAST, dependency, and secrets scanning to the CI/CD pipeline</t>
  </si>
  <si>
    <t xml:space="preserve">The product itself markets "Secrets Detection in Code" (UCO-AS-004) and "Vulnerability Scanning (SAST/DAST)" (UCO-CM-003) as controls it helps customers implement — but there is no evidence EnterpriseComply applies these to its own codebase.</t>
  </si>
  <si>
    <t xml:space="preserve">CI pipeline runs a SAST tool (e.g. Semgrep/CodeQL), dependency vulnerability scanning (e.g. Dependabot/Snyk), and secrets scanning (e.g. gitleaks) on every PR, with findings triaged and a clean baseline established.</t>
  </si>
  <si>
    <t xml:space="preserve">Replit Agent (CI config) + User (tool/vendor choice, may need accounts)</t>
  </si>
  <si>
    <t xml:space="preserve">KICKED OFF 2026-08-08 (next-phase work, delegated authority): sent Replit a combined build request (SAST + dependency + secrets scanning, and a migration-safety CI gate that verifies clean migration runs and flags destructive changes for human approval). Awaiting build completion before independent verification — will require proof the gate actually blocks a deliberately bad migration/secret, not just that it exists. RESOLVED AND VERIFIED 2026-08-09. The push of the three CI workflow files (.github/workflows/isolation-rbac.yml, security-scan.yml, migration-safety.yml) was blocked for an extended period by a GitHub 403 — Replit's OAuth App connection lacks the 'workflow' scope required to push any commit touching .github/workflows/, and OAuth Apps can't have scopes added post-authorization (unlike GitHub App installations or PATs). Worked around by having Replit split the push into two commits (application/test code first, which succeeded immediately; workflow YAMLs held back), then the account owner generated a GitHub PAT with repo+workflow scope to push the held-back commit separately. Final commit 66d1d3e landed on origin/main. Independently verified via direct git clone (not trusting Replit's or GitHub UI's word): all three YAML files present, each parses as valid YAML (no corruption, which had been a real risk earlier when raw file content relayed through chat got mangled). Most importantly, verified on github.com/SpartanIron/EnterpriseComply/actions that all three workflows actually RAN and PASSED on their first real trigger against commit 66d1d3e: Isolation &amp; RBAC Tests #1 (46s), Security Scan #1 (36s), Migration Safety #1 (54s) — all green. CI enforcement for tenant isolation, RBAC, dependency/secrets scanning, and migration safety is now genuinely live on every push/PR to main, not just committed as inert files.</t>
  </si>
  <si>
    <t xml:space="preserve">P1-19</t>
  </si>
  <si>
    <t xml:space="preserve">High (Integrity/Availability, Automation)</t>
  </si>
  <si>
    <t xml:space="preserve">Add a migration safety gate to CI/CD</t>
  </si>
  <si>
    <t xml:space="preserve">P0-04/P0-05 (two silent migration errors on every boot) were only caught because they showed up in logs during this audit — the error-swallowing pattern means future migration bugs could ship to production undetected the same way.</t>
  </si>
  <si>
    <t xml:space="preserve">CI runs every migration against a fresh database on every PR and fails the build loudly on any migration error; the swallow-and-continue pattern in the boot sequence is removed or downgraded only after this gate exists.</t>
  </si>
  <si>
    <t xml:space="preserve">Replit Agent (CI config + code fix)</t>
  </si>
  <si>
    <t xml:space="preserve">P1-20</t>
  </si>
  <si>
    <t xml:space="preserve">High (Integrity, defense-in-depth)</t>
  </si>
  <si>
    <t xml:space="preserve">Enforce audit log immutability at the database layer, not just the application layer</t>
  </si>
  <si>
    <t xml:space="preserve">P0-20 confirmed the API surface has no way to edit or delete audit log entries — good, but that guarantee only holds as long as every write goes through the application. Anyone with a direct Postgres connection (an admin with DB credentials, a future ops script, a compromised service account) could still UPDATE or DELETE rows in org_audit_log directly, and nothing at the database level would stop them. For a product whose core value proposition is being a trustworthy, tamper-evident record, this residual gap matters.</t>
  </si>
  <si>
    <t xml:space="preserve">org_audit_log has a real database-level protection — e.g. a BEFORE UPDATE/DELETE trigger that rejects the operation, or REVOKE UPDATE, DELETE on the table from the application's runtime role and only allow INSERT — and this is confirmed by attempting a direct SQL UPDATE/DELETE against the table and observing it fail.</t>
  </si>
  <si>
    <t xml:space="preserve">Replit Agent (migration + code fix)</t>
  </si>
  <si>
    <t xml:space="preserve">Surfaced as a residual finding during P0-20 verification, not from the original audit.</t>
  </si>
  <si>
    <t xml:space="preserve">P1-21</t>
  </si>
  <si>
    <t xml:space="preserve">Medium-High (Reliability/UX, newly surfaced)</t>
  </si>
  <si>
    <t xml:space="preserve">Google sign-in button fails silently when credentials are missing</t>
  </si>
  <si>
    <t xml:space="preserve">Surfaced via Replit's own 'Suggested next tasks' panel, not from the original audit or prior remediation work. When Google OAuth credentials are not configured, clicking the Google sign-in button apparently fails without telling the user why — same class of bug as the RoleManagement.tsx silent-failure pattern already fixed in P0-12 (errors swallowed, UI gives no signal something went wrong). Not yet investigated in detail — root cause (missing env var check, uncaught OAuth redirect error, etc.) still needs confirming.</t>
  </si>
  <si>
    <t xml:space="preserve">Clicking Google sign-in when OAuth credentials are not configured shows a clear, honest error/disabled state to the user (e.g. 'Google sign-in is not available yet') instead of silently doing nothing; verified by attempting the flow with credentials unset and confirming the user-facing behavior.</t>
  </si>
  <si>
    <t xml:space="preserve">New finding, not yet started — flagged by the account owner from Replit's suggested-tasks panel. Related to but distinct from P1-01 (real Google Workspace OAuth credentials), which is about wiring a REAL working integration; this ticket is about the failure mode when credentials are absent, which matters regardless of whether/when P1-01 is completed. RE-VERIFIED LIVE (2026-08-08): clicked "Continue with Google" on the production sign-in page myself — it correctly initiated a real OAuth request to accounts.google.com with the correct client_id, redirect_uri (https://grc.colorcodesolutions.com/api/auth/callback/google), and scopes, reaching Google's real account chooser. This confirms the button is NOT silently failing when GOOGLE_CLIENT_ID IS configured (which it is in this environment) — the P1-21 fix's "hide/fail honestly when unconfigured" behavior could not be tested directly since credentials are present, but the happy path works correctly. Did not complete the actual sign-in (stopped at Google's account chooser) to avoid touching the account owner's personal Google session unnecessarily. STATUS CORRECTED 2026-08-08 — status field was stuck on 'Blocked — Needs Production Deploy' even though this ticket's own note above already documents a live re-verification (2026-08-08) confirming the Google sign-in button correctly initiates a real OAuth request with the correct client_id/redirect_uri/scopes. Correcting the status field to match the evidence already on record; no new work performed.</t>
  </si>
  <si>
    <t xml:space="preserve">P1-22</t>
  </si>
  <si>
    <t xml:space="preserve">Notification bell shows nothing instead of real compliance alerts</t>
  </si>
  <si>
    <t xml:space="preserve">Surfaced via Replit's own 'Suggested next tasks' panel, not from the original audit or prior remediation work. ROOT CAUSE CONFIRMED (via post-fix regression pass): the notification bell was never wired to real data — startup.service.ts called generateNotificationsFromState() on every boot, which fabricated a fixed set of hardcoded fake alerts per org (e.g. '3 evidence items expiring soon', '6 policies due for annual review') rather than deriving alerts from actual org state. That fake-alert-seeding function has now been neutralized (call site left in place, body replaced with tombstone comments — no more fake data is generated), which means the bell currently shows nothing (honest empty state) rather than fabricated alerts. This is the same placeholder-UI pattern found across the 7 demo-data modules in P0-07 through P0-13, just not part of that original list.</t>
  </si>
  <si>
    <t xml:space="preserve">The notification bell shows real, live compliance alerts for the current org (e.g. overdue controls, failed test runs, expiring evidence) when they exist, and an honest 'no alerts' empty state when they don't — verified against a real test org with at least one alert condition triggered.</t>
  </si>
  <si>
    <t xml:space="preserve">Partially addressed as a byproduct of the regression pass: the fake-alert generator (generateNotificationsFromState()) has been disabled, so the bell no longer shows FABRICATED alerts — but it also does not yet show REAL ones. Remaining scope to close this ticket: build real notification-generation logic that derives alerts from live org state (e.g. queries against org_evidence for expiring items, org_risks for overdue/high-severity risks, org_policies for review-due policies, org_control_results for failing/overdue controls) and replace the tombstoned function with real queries. Not yet started — sequenced after the deploy blocker (P0-22) and the two new hard deploy prerequisites (P0-23 BETTER_AUTH_SECRET, P0-21 WEBHOOK_SECRET) are resolved. STAGE C RESULT: PASSED (dev evidence). Dev DB query confirms 0 notifications across all 3 dev orgs — correct honest empty state (no real trigger conditions exist yet). generateNotificationsFromState() (the old fake-alert seeder) confirmed replaced with a tombstone comment. A REAL scheduler — ComplianceAlertsService.runComplianceAlertsSweep(), @Cron('0 7 * * *') — is registered in scheduler.module.ts and will sweep all orgs daily at 07:00 UTC for real conditions (expiring evidence, failing controls, overdue risks, stale policy reviews). Not yet confirmed showing real counts in production since the first scheduled run hasn't occurred yet relative to this check.</t>
  </si>
  <si>
    <t xml:space="preserve">P2-05</t>
  </si>
  <si>
    <t xml:space="preserve">High (GTM, Industry-leading)</t>
  </si>
  <si>
    <t xml:space="preserve">Pursue SOC 2 Type II certification for ColorCode Solutions / EnterpriseComply itself</t>
  </si>
  <si>
    <t xml:space="preserve">A compliance-automation vendor asking customers to trust it with their compliance evidence, while itself being uncertified, is a hard sell against Vanta/Drata/Secureframe (all SOC 2 certified). This is the single highest-leverage industry-leadership move available.</t>
  </si>
  <si>
    <t xml:space="preserve">ColorCode Solutions completes a real SOC 2 Type II audit for EnterpriseComply and can publish the report/badge on the Trust Center — replacing self-declared claims with an independently verified one.</t>
  </si>
  <si>
    <t xml:space="preserve">External audit firm engagement (not executable by Claude or Replit Agent) — Phase 0/1 items (esp. P0-00, P0-01, P1-06, P1-16-19) directly build the control evidence this audit will require</t>
  </si>
  <si>
    <t xml:space="preserve">Needs the user to select and contract a SOC 2 audit firm; strongly benefits from Phase 0/1 being done first</t>
  </si>
  <si>
    <t xml:space="preserve">P2-06</t>
  </si>
  <si>
    <t xml:space="preserve">Medium (Availability)</t>
  </si>
  <si>
    <t xml:space="preserve">Audit rate limiting and DoS protection coverage</t>
  </si>
  <si>
    <t xml:space="preserve">The original audit flagged "no rate limiting" as an open question. Cloudflare WAF (once P1-08 connects it for real) covers network-layer DDoS, but application-layer abuse (credential stuffing, API scraping, brute-force login) needs its own rate limiting at the app/API layer.</t>
  </si>
  <si>
    <t xml:space="preserve">Confirmed rate limits exist on authentication endpoints and public APIs, tested by attempting to exceed them and observing a 429 response; documented thresholds.</t>
  </si>
  <si>
    <t xml:space="preserve">P2-07</t>
  </si>
  <si>
    <t xml:space="preserve">Medium (Availability, at-scale readiness)</t>
  </si>
  <si>
    <t xml:space="preserve">Assess multi-region / failover resilience</t>
  </si>
  <si>
    <t xml:space="preserve">Railway hosting appears to be single-region based on available information; at enterprise/federal scale, customers (especially FedRAMP-track ones) will ask about regional failover and disaster recovery, not just backups.</t>
  </si>
  <si>
    <t xml:space="preserve">A documented assessment of current single-region exposure, with either a failover plan or an explicit, communicated risk-acceptance decision — not silence on the topic.</t>
  </si>
  <si>
    <t xml:space="preserve">Replit Agent (assessment) + User (infrastructure/budget decision)</t>
  </si>
  <si>
    <t xml:space="preserve">Needs user decision on investment level for this stage</t>
  </si>
  <si>
    <t xml:space="preserve">P0-27</t>
  </si>
  <si>
    <t xml:space="preserve">P0</t>
  </si>
  <si>
    <t xml:space="preserve">Production Postgres database found empty (schema loss); recovered via app-level migration rebuild</t>
  </si>
  <si>
    <t xml:space="preserve">Discovered 2026-08-08 while investigating a Railway dashboard link: the production Postgres service ("Postgres" in the c2s-intel-platform project) had ZERO application tables in any schema, confirmed via direct SQL (information_schema.tables / pg_tables), not just a UI listing bug. Root cause: the Postgres SERVICE itself had been redeployed shortly before I checked (fresh ghcr.io/railwayapp-templates/postgres-ssl:18 container, per its own Deployments tab), while the EnterpriseComply app process had booted earlier and was still serving traffic on long-lived pooled connections established before the volume issue — masking the problem until those connections would have eventually cycled and failed.</t>
  </si>
  <si>
    <t xml:space="preserve">Attempted a proper volume-backup restore first (2-hours-old daily backup, 1.08 GB, via Railway's Backups UI) with explicit user authorization; this did not work as expected — pgbackrest logs showed a restore-gate check that found PG_VERSION/PG_CONTROL already present on the new volume and did not pull in the backup snapshot, and the database remained empty afterward. User confirmed no real production data exists to preserve, which changed the objective from data recovery to functional recovery. Resolved by triggering a plain redeploy of the EnterpriseComply app service: its existing startup migration logic (the same "EC Migration: ... ensured" sequence and Nest [StartupService] migrations seen on every normal boot) ran against the empty database and recreated the FULL application schema from scratch (40+ tables: account, user, session, member, org_frameworks, org_policies, org_control_results, org_evidence, etc.), all correctly empty (0 rows). Independently re-verified after the fix, not just Replit/Railway UI claims: (1) direct SQL confirms all application tables exist in the public schema; (2) row counts on account/user/org_frameworks = 0, matching a genuinely clean state; (3) live app re-tested end-to-end - /dashboard correctly redirects unauthenticated users to /sign-in (P0-25 still intact), /api/auth/get-session returns clean 200/null, /api/webhooks/user-created correctly returns 401 for a missing secret header (not the old 503 "unset" - P0-21 fix still intact), and POST /api/auth/sign-in/magic-link both returned 200 AND actually wrote real rows into the new "verification" table (confirmed via direct SQL) - proving both read and write paths work against the rebuilt schema, not just that the process boots.</t>
  </si>
  <si>
    <t xml:space="preserve">Railway dashboard (browser) + direct SQL verification</t>
  </si>
  <si>
    <t xml:space="preserve">RESOLVED 2026-08-08. This was a genuine production incident (empty database), not a UI artifact - verified myself via raw SQL before and after the fix. User confirmed no real customer/production data existed to lose, so the fix objective was full functional recovery rather than data restoration, which is now confirmed complete and independently verified end-to-end (see Acceptance Criteria). OPEN FOLLOW-UP (not blocking, but worth tracking separately): why did the Postgres service redeploy/reinitialize in the first place, and is the persistent volume reliably reattaching across restarts going forward? That reliability question is not resolved by this ticket and should be investigated with Railway or via closer monitoring before this is trusted with real customer data. FOLLOW-UP HARDENING CHECK (2026-08-08, same delegated-authority decision as above). Checked Postgres &gt; Settings &gt; 'Configure auto updates': confirmed OFF, ruling out an auto-update-triggered redeploy as an ongoing forward risk (its state at the exact moment of the original incident could not be determined — Railway's UI exposes no change/audit log for this setting). Pivoted from unprovable root-cause archaeology to a concrete, checkable hardening action: opened Postgres &gt; Backups &gt; Point-in-time recovery. Found it in a HEALTHY state, not the 'WAL archive credentials may be invalid' warning I'd seen earlier — current cluster's WAL archive head was only ~52 minutes old and advancing (archived window 2026-08-08 15:54:17 to 16:48:36 at time of check), with the message 'Source has had no writes since 04:08 PM — restoring to that moment gives you the most recent data,' confirming continuous archiving is actively working right now. The picker also confirmed 'This bucket holds 2 archive histories — one per cluster that ever ran here,' independently corroborating the P0-27 root-cause finding that a second/new Postgres cluster came into existence around the incident. Since no warning is currently present, no 'Regenerate credentials &amp; redeploy' action was necessary — that path is documented here for the future in case the warning reappears. NET RESULT: going forward, continuous point-in-time recovery is confirmed enabled and functioning as a safety net, in addition to the existing daily volume backups (5 daily backups retained, 1.08 GB each, oldest 4 days old). The original 'why did it redeploy' question remains formally unanswered (no Railway audit log available to me), but is downgraded from an open risk to a closed-with-monitoring item: the two concrete forward-looking controls (auto-updates off, PITR confirmed healthy) are now both verified, which is the actionable part of this follow-up.</t>
  </si>
  <si>
    <t xml:space="preserve">P0-28</t>
  </si>
  <si>
    <t xml:space="preserve">better-auth pre-account-hijacking vulnerability (CVSS 8.3) — attacker can retain access to victim accounts after real owner signs in via magic-link/OTP</t>
  </si>
  <si>
    <t xml:space="preserve">Discovered 2026-08-09 while verifying the new security-scan CI workflow on GitHub: Dependabot alert #59 flags better-auth (our authentication library, npm package "better-auth") for a pre-account-hijacking vulnerability (GHSA-qq9h-g4jm-xgf3, CVSS 8.3/10 High, no CVE assigned yet). Affected versions &gt;= 1.1.3, &lt; 1.6.22; our pnpm-lock.yaml showed 1.6.11 at time of discovery. Attack: with open email+password self-registration enabled, an attacker signs up with a victim's email and a password of their choosing before the real victim ever creates an account. The account sits unverified. When the real victim later signs in via magic-link or email-OTP (passwordless flows, both of which we use), that verifies the account but does NOT revoke the attacker's already-set password or invalidate other sessions in vulnerable versions -- so the attacker keeps persistent access after the real owner starts using the account normally.</t>
  </si>
  <si>
    <t xml:space="preserve">Fix is a low-risk dependency version bump to better-auth &gt;= 1.6.22 (patched). A ready-made Dependabot PR already existed for this exact bump. Directed Replit to: (1) confirm whether open email+password self-registration is actually enabled in our config (determines real-world exploitability, not just theoretical applicability), (2) apply the version bump, (3) run the full test suite -- including the newly-verified isolation/RBAC CI suite -- against the updated dependency to confirm no regressions, (4) merge and deploy to production. Will independently re-verify via Dependabot's alert page (confirm it auto-closes) and a live production check once Replit reports completion -- not closing this ticket on Replit's self-report alone.</t>
  </si>
  <si>
    <t xml:space="preserve">Replit (dependency bump + test) + independent GitHub Dependabot re-verification</t>
  </si>
  <si>
    <t xml:space="preserve">IN PROGRESS 2026-08-09. Directly relevant given magic-link sign-in is confirmed live and previously verified (P1-12). Prioritized ahead of the broader Dependabot backlog (71 open alerts total, see P1-23) because this is the only one found so far with a plausible path to full account takeover on our actual live auth flow, not just a DoS or information-disclosure class issue. CVSS 8.3 Network/Low-complexity/No-privileges-required makes this the most severe single finding surfaced in this entire engagement to date -- worth treating with matching urgency rather than folding into routine dependency hygiene. RESOLVED AND VERIFIED 2026-08-09, three independent checks, not just Replit's or the user's word: (1) GitHub Dependabot alert #59 flipped from 'Open' to 'Fixed' status (checked the live alert page directly, not a commit message). (2) Fresh git clone confirms BOTH artifacts/api-server and artifacts/c2s-ciop now declare better-auth ^1.6.22, resolved to patched 1.6.26 in pnpm-lock.yaml -- this required two separate fixes, since the first pass only patched api-server and missed c2s-ciop's independent dependency declaration (caught this gap myself before accepting the initial 'fixed' claim). (3) Railway shows the fix commit ACTIVE and 'Deployment successful' on the live EnterpriseComply production service (app.enterprisecomply.com), not just merged in git. All three layers -- source, dependency resolution, and live deployment -- confirmed consistent.</t>
  </si>
  <si>
    <t xml:space="preserve">P1-23</t>
  </si>
  <si>
    <t xml:space="preserve">P1</t>
  </si>
  <si>
    <t xml:space="preserve">Triage and remediate the 71-item Dependabot vulnerability backlog (beyond the P0-28 auth takeover finding)</t>
  </si>
  <si>
    <t xml:space="preserve">GitHub Dependabot shows 71 open vulnerability alerts as of 2026-08-09 (github.com/SpartanIron/EnterpriseComply/security/dependabot), most labeled High severity. Notable ones beyond P0-28 (better-auth account takeover): @fastify/static path traversal (route guard bypass, DIRECT dependency in api-server), Nodemailer addressparser DoS via recursive calls (DIRECT dependency), brace-expansion DoS via exponential-time regex expansion (ReDoS -- matches a suggestion Replit had already surfaced independently), nanoid non-secure/looping generators, path-to-regexp DoS via sequential optional groups, lodash code injection via _.template, PostCSS arbitrary file read via sourceMappingURL, fast-uri path traversal / host confusion, form-data CRLF injection, vite dev-server path bypass.</t>
  </si>
  <si>
    <t xml:space="preserve">Not all 71 are equally urgent -- severity labels alone do not establish real-world exploitability (dev-only deps, unreachable code paths, and transitive deps behind other guards all reduce real risk vs. the CVSS label). Scope of this ticket: have Replit triage the full list into (a) direct dependencies with a plausible reachable exploit path in this app -- prioritize these, (b) alerts with a ready auto-generated Dependabot fix PR requiring only a version bump -- batch-apply these after test verification since they are low-risk, (c) everything else -- document and schedule rather than firefight. The new security-scan.yml CI gate (P1-18, now live) prevents NEW vulnerable dependencies from landing going forward; this ticket is about the existing backlog that predates it.</t>
  </si>
  <si>
    <t xml:space="preserve">Replit</t>
  </si>
  <si>
    <t xml:space="preserve">OPENED 2026-08-09, discovered incidentally while verifying CI workflow runs for P1-17/18/19. Not yet started -- P0-28 (the one confirmed severe, directly-exploitable finding) takes priority. This ticket exists so the other 70 alerts do not get silently dropped once P0-28 closes. KICKED OFF 2026-08-09 (69 open alerts remaining after P0-28 closed 2). Directed Replit to triage in priority order: (a) direct dependencies with reachable exploit paths first (@fastify/static path traversal and Nodemailer addressparser DoS both flagged as Direct deps in api-server), (b) alerts with ready auto-generated fix PRs (simple version bumps) batch-applied after test verification, (c) document the rest rather than rush risky major-version bumps. Asked for incremental commits (not one giant batch) so each can be independently verified, and to flag anything needing a breaking-change decision rather than proceed unilaterally.</t>
  </si>
  <si>
    <t xml:space="preserve">EnterpriseComply — Production Readiness: Ticket Summary</t>
  </si>
  <si>
    <t xml:space="preserve">Phase</t>
  </si>
  <si>
    <t xml:space="preserve">Total Tickets</t>
  </si>
  <si>
    <t xml:space="preserve">Testing</t>
  </si>
  <si>
    <t xml:space="preserve">Blocked</t>
  </si>
  <si>
    <t xml:space="preserve">TOTAL</t>
  </si>
  <si>
    <t xml:space="preserve">Note: "Blocked" tickets require something only the user (or an external vendor/SME) can provide — real credentials, real customer data, a real audit relationship, or an external security/legal review. These cannot be closed by code changes alone.</t>
  </si>
  <si>
    <t xml:space="preserve">EnterpriseComply — Remediation Execution Sequence  (updated 2026-08-08)</t>
  </si>
  <si>
    <t xml:space="preserve">This sheet shows the ORDER I am working through the backlog, not just each ticket's status. See the "Ticket Backlog" sheet for full detail on any ticket ID.</t>
  </si>
  <si>
    <t xml:space="preserve">Status</t>
  </si>
  <si>
    <t xml:space="preserve">Ticket(s)</t>
  </si>
  <si>
    <t xml:space="preserve">What</t>
  </si>
  <si>
    <t xml:space="preserve">Why this order / notes</t>
  </si>
  <si>
    <t xml:space="preserve">STAGE A — FOUNDATION (all complete)</t>
  </si>
  <si>
    <t xml:space="preserve">DONE</t>
  </si>
  <si>
    <t xml:space="preserve">Fix broken GitHub push authentication</t>
  </si>
  <si>
    <t xml:space="preserve">You pushed the 9 pending commits yourself. origin/main confirmed moved (ae064cc → 7038fcc) via my own git verification, independent of Replit.</t>
  </si>
  <si>
    <t xml:space="preserve">P0-23 prereq</t>
  </si>
  <si>
    <t xml:space="preserve">Set BETTER_AUTH_SECRET in Railway</t>
  </si>
  <si>
    <t xml:space="preserve">You set this. I confirmed production boots healthily (no crash-loop) by loading the live site.</t>
  </si>
  <si>
    <t xml:space="preserve">P0-21 prereq</t>
  </si>
  <si>
    <t xml:space="preserve">Set WEBHOOK_SECRET in Railway</t>
  </si>
  <si>
    <t xml:space="preserve">You set this. Note: nothing in the code currently calls that webhook over HTTP, so this is hardening, not an active unblock.</t>
  </si>
  <si>
    <t xml:space="preserve">P1-12 prereq</t>
  </si>
  <si>
    <t xml:space="preserve">Set Resend API key (Railway + Replit)</t>
  </si>
  <si>
    <t xml:space="preserve">You set this just now. Unblocks magic-link email delivery — still needs an end-to-end send test (Stage B).</t>
  </si>
  <si>
    <t xml:space="preserve">STAGE B — COMPLETE</t>
  </si>
  <si>
    <t xml:space="preserve">Fix onboarding auth-guard bug (bare "Unauthorized" instead of redirect to sign-in)</t>
  </si>
  <si>
    <t xml:space="preserve">Fixed (commit 90cdf04) and INDEPENDENTLY VERIFIED by me on live production: signed out to get a genuinely unauthenticated session, confirmed via get-session returning null, then confirmed /onboarding and /dashboard both correctly redirect to /sign-in instead of rendering. Stage B is complete.</t>
  </si>
  <si>
    <t xml:space="preserve">STAGE C — COMPLETE (all 4 standing items resolved 2026-08-08 via delegated expert decision)</t>
  </si>
  <si>
    <t xml:space="preserve">Personally re-verify the fix on live production</t>
  </si>
  <si>
    <t xml:space="preserve">Completed as part of Stage B closeout above.</t>
  </si>
  <si>
    <t xml:space="preserve">Run the 28-point cross-org isolation test against the LIVE production database</t>
  </si>
  <si>
    <t xml:space="preserve">P0-00: 28/28 passed in dev; production run needs either scoped DB access granted to Replit or your sign-off on dev-equivalence. UPDATE 2026-08-08: Decided (expert authority) to accept dev-equivalence rather than grant Replit standing prod DB access — reasoning documented in Ticket Backlog row for P0-00 (identical deployed commit + app-layer-only isolation mechanism + would require manufacturing test data in a freshly-recovered prod DB). Residual risk closed durably via planned P1-17 CI isolation suite, not by a one-off manual prod test.</t>
  </si>
  <si>
    <t xml:space="preserve">Verify Google sign-in button now hides/fails honestly when unconfigured</t>
  </si>
  <si>
    <t xml:space="preserve">P1-21 confirmed working live by me — real OAuth flow reaches Google correctly.</t>
  </si>
  <si>
    <t xml:space="preserve">DONE (dev evidence)</t>
  </si>
  <si>
    <t xml:space="preserve">Verify notification bell shows real (not fake) alerts</t>
  </si>
  <si>
    <t xml:space="preserve">P1-22 confirmed: fake alerts gone, honest 0-state, real daily cron scheduler registered.</t>
  </si>
  <si>
    <t xml:space="preserve">DONE (vendor-log evidence)</t>
  </si>
  <si>
    <t xml:space="preserve">End-to-end test: does a real magic-link email actually arrive now?</t>
  </si>
  <si>
    <t xml:space="preserve">P1-12: API confirmed working (cross-verified by both Replit and me), but real inbox delivery unconfirmed. Test with a real email you can check. UPDATE 2026-08-08: Resend delivery logs show 3 real sends to the account owner's inbox with last_event: "delivered". Recommended a 10-second self-check of the inbox to fully close any doubt, but marking Done on the strength of vendor-log evidence against a real, checkable address.</t>
  </si>
  <si>
    <t xml:space="preserve">P0-01,02,03,04,05,06,07-13,17,18,19,21,23,24</t>
  </si>
  <si>
    <t xml:space="preserve">Spot-check every remaining "Blocked — Needs Production Deploy" ticket against live production</t>
  </si>
  <si>
    <t xml:space="preserve">12 of the batch confirmed Done with real evidence (source + dev + some production checks). 3 genuine issues found — see rows below.</t>
  </si>
  <si>
    <t xml:space="preserve">Populate real policy content for all 8 seeded policies (currently empty Draft shells)</t>
  </si>
  <si>
    <t xml:space="preserve">Confirmed live: commit 72e602e, 24 policy rows backfilled with real industry-standard content, verified in dev DB.</t>
  </si>
  <si>
    <t xml:space="preserve">WEBHOOK_SECRET not picked up by running production process</t>
  </si>
  <si>
    <t xml:space="preserve">Needs a manual Railway redeploy (Settings → Deploy → Redeploy) — no code change required. UPDATE 2026-08-08: No manual redeploy was actually needed — a later P0-17 deploy incidentally restarted the process and picked up the env var. Re-tested live: webhook now returns 401 (validates header) instead of the old 503 (secret unset).</t>
  </si>
  <si>
    <t xml:space="preserve">Formal production close-out for cross-org isolation</t>
  </si>
  <si>
    <t xml:space="preserve">Decide: grant Replit scoped production DB access to run the 28-point test directly, or accept dev-equivalence (same deployed commit) as sufficient. UPDATE 2026-08-08: Decided — accept dev-equivalence. See P0-00 in Ticket Backlog for full reasoning, adversarial review, and the explicit revisit trigger (first real customer org, or P1-17 landing).</t>
  </si>
  <si>
    <t xml:space="preserve">STAGE D — PHASE 0 COMPLETION MILESTONE</t>
  </si>
  <si>
    <t xml:space="preserve">MILESTONE REACHED — STAGE C CLOSED 2026-08-08</t>
  </si>
  <si>
    <t xml:space="preserve">(all Phase 0)</t>
  </si>
  <si>
    <t xml:space="preserve">Formal Phase 0 completion summary once Stage C passes cleanly</t>
  </si>
  <si>
    <t xml:space="preserve">This is the "production-ready foundation" milestone — full write-up with evidence for every P0 ticket. Phase 0 status as of 2026-08-08: 28 tickets total — 24 Done, 3 Blocked (all newly-added P0-27-adjacent/legacy items or genuinely standing account-admin actions in row 28 below, not code/decision blockers), 1 remaining. All 3 of the previously-standing decision items (P0-17 slug, P0-00 isolation test, P0-27 Postgres reliability follow-up) are now Done. Formal phase completion write-up still pending as a discrete deliverable, but the substantive work is closed.</t>
  </si>
  <si>
    <t xml:space="preserve">STANDING — ON YOU</t>
  </si>
  <si>
    <t xml:space="preserve">P0-14, P0-15, P0-16</t>
  </si>
  <si>
    <t xml:space="preserve">MFA on Super Admin account / corporate email migration / break-glass admin account</t>
  </si>
  <si>
    <t xml:space="preserve">These don't block anything else and can't be done by Replit or me — purely your account-administration actions, whenever convenient.</t>
  </si>
  <si>
    <t xml:space="preserve">STAGE E — PHASE 1 QUEUE (recommended order after Stage D)</t>
  </si>
  <si>
    <t xml:space="preserve">IN PROGRESS</t>
  </si>
  <si>
    <t xml:space="preserve">Automated tenant-isolation + RBAC regression test suite in CI</t>
  </si>
  <si>
    <t xml:space="preserve">Highest leverage item: prevents a P0-00-class bug from ever silently regressing again. First priority once Phase 0 closes. KICKED OFF 2026-08-08: sent Replit a detailed build request — automated multi-resource cross-org isolation + RBAC regression suite (covering the same breadth as the original 28-point manual test: frameworks, policies, controls, evidence, integrations, audit logs, etc.), wired into CI to run on every push/PR and block merges on regression. Awaiting Replit's build + confirmation of coverage count and CI wiring before independent verification.</t>
  </si>
  <si>
    <t xml:space="preserve">P1-18, P1-19</t>
  </si>
  <si>
    <t xml:space="preserve">CI/CD security gates — SAST/dependency/secrets scanning, migration safety gate</t>
  </si>
  <si>
    <t xml:space="preserve">Same "prevent regression" logic as P1-17 — closes the class of bug that caused P0-04/P0-05/P0-24 (silent migration failures). KICKED OFF 2026-08-08: sent Replit a combined build request for both tickets right after P1-17. Awaiting build + verification.</t>
  </si>
  <si>
    <t xml:space="preserve">THEN</t>
  </si>
  <si>
    <t xml:space="preserve">P1-16, P1-20</t>
  </si>
  <si>
    <t xml:space="preserve">Verify integration credentials encrypted at rest; enforce audit-log immutability at the DB layer</t>
  </si>
  <si>
    <t xml:space="preserve">Hardening around already-shipped security work (P0-20).</t>
  </si>
  <si>
    <t xml:space="preserve">P1-13, P1-14, P1-15</t>
  </si>
  <si>
    <t xml:space="preserve">Backup/restore test, uptime monitoring + status page, SSO/SAML</t>
  </si>
  <si>
    <t xml:space="preserve">Customer-readiness features — worth doing before your first real paying customer, not before.</t>
  </si>
  <si>
    <t xml:space="preserve">P1-08, P1-09, P1-10</t>
  </si>
  <si>
    <t xml:space="preserve">Build real Cloudflare / Railway / Replit connectors</t>
  </si>
  <si>
    <t xml:space="preserve">Lower urgency — mostly self-service observability, nice-to-have.</t>
  </si>
  <si>
    <t xml:space="preserve">LATER</t>
  </si>
  <si>
    <t xml:space="preserve">P1-05, P1-07</t>
  </si>
  <si>
    <t xml:space="preserve">Real scheduled automated test runs; plan-tier gating</t>
  </si>
  <si>
    <t xml:space="preserve">Product-maturity items, not urgent.</t>
  </si>
  <si>
    <t xml:space="preserve">BEFORE FIRST REAL CUSTOMER</t>
  </si>
  <si>
    <t xml:space="preserve">Needs an external vendor — schedule once Phase 0 is fully closed and before onboarding your first real paying customer.</t>
  </si>
  <si>
    <t xml:space="preserve">STAGE F — PHASE 2 / 3 (scale, GTM) — not actionable yet</t>
  </si>
  <si>
    <t xml:space="preserve">NOT STARTED</t>
  </si>
  <si>
    <t xml:space="preserve">(all Phase 2/3)</t>
  </si>
  <si>
    <t xml:space="preserve">Scale/differentiate work and go-to-market proof</t>
  </si>
  <si>
    <t xml:space="preserve">Almost entirely blocked on external vendors, real customers, or business decisions only you can make. Revisit once Phase 1 substantially closes.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</si>
</sst>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color rgb="FF1F3864"/>
      <name val="Arial"/>
      <family val="0"/>
      <charset val="1"/>
    </font>
    <font>
      <i val="true"/>
      <sz val="9"/>
      <color rgb="FF666666"/>
      <name val="Arial"/>
      <family val="0"/>
      <charset val="1"/>
    </font>
    <font>
      <b val="true"/>
      <sz val="14"/>
      <color rgb="FFFFFFFF"/>
      <name val="Arial"/>
      <family val="0"/>
      <charset val="1"/>
    </font>
    <font>
      <i val="true"/>
      <sz val="9"/>
      <name val="Arial"/>
      <family val="0"/>
      <charset val="1"/>
    </font>
    <font>
      <b val="true"/>
      <sz val="10"/>
      <name val="Arial"/>
      <family val="0"/>
      <charset val="1"/>
    </font>
    <font>
      <b val="true"/>
      <sz val="11"/>
      <color rgb="FFFFFFFF"/>
      <name val="Arial"/>
      <family val="0"/>
      <charset val="1"/>
    </font>
  </fonts>
  <fills count="12">
    <fill>
      <patternFill patternType="none"/>
    </fill>
    <fill>
      <patternFill patternType="gray125"/>
    </fill>
    <fill>
      <patternFill patternType="solid">
        <fgColor rgb="FF1F3864"/>
        <bgColor rgb="FF1F4E78"/>
      </patternFill>
    </fill>
    <fill>
      <patternFill patternType="solid">
        <fgColor rgb="FFF4CCCC"/>
        <bgColor rgb="FFD9D9D9"/>
      </patternFill>
    </fill>
    <fill>
      <patternFill patternType="solid">
        <fgColor rgb="FFFF0000"/>
        <bgColor rgb="FF993300"/>
      </patternFill>
    </fill>
    <fill>
      <patternFill patternType="solid">
        <fgColor rgb="FFFCE5CD"/>
        <bgColor rgb="FFFFF2CC"/>
      </patternFill>
    </fill>
    <fill>
      <patternFill patternType="solid">
        <fgColor rgb="FFFFF2CC"/>
        <bgColor rgb="FFFCE5CD"/>
      </patternFill>
    </fill>
    <fill>
      <patternFill patternType="solid">
        <fgColor rgb="FFFFFFFF"/>
        <bgColor rgb="FFFFF2CC"/>
      </patternFill>
    </fill>
    <fill>
      <patternFill patternType="solid">
        <fgColor rgb="FFD9EAD3"/>
        <bgColor rgb="FFD9E1F2"/>
      </patternFill>
    </fill>
    <fill>
      <patternFill patternType="solid">
        <fgColor rgb="FF1F4E78"/>
        <bgColor rgb="FF1F3864"/>
      </patternFill>
    </fill>
    <fill>
      <patternFill patternType="solid">
        <fgColor rgb="FFD9E1F2"/>
        <bgColor rgb="FFD9D9D9"/>
      </patternFill>
    </fill>
    <fill>
      <patternFill patternType="solid">
        <fgColor rgb="FF38761D"/>
        <bgColor rgb="FF3399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9"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10" borderId="1" xfId="0" applyFont="true" applyBorder="true" applyAlignment="true" applyProtection="false">
      <alignment horizontal="general" vertical="bottom" textRotation="0" wrapText="false" indent="0" shrinkToFit="false"/>
      <protection locked="true" hidden="false"/>
    </xf>
    <xf numFmtId="164" fontId="11" fillId="9" borderId="0"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1" fillId="11" borderId="0" xfId="0" applyFont="true" applyBorder="true" applyAlignment="true" applyProtection="false">
      <alignment horizontal="general" vertical="center" textRotation="0" wrapText="false" indent="0" shrinkToFit="false"/>
      <protection locked="true" hidden="false"/>
    </xf>
    <xf numFmtId="164" fontId="11" fillId="9"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0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16"/>
    <col collapsed="false" customWidth="true" hidden="false" outlineLevel="0" max="4" min="4" style="1" width="34"/>
    <col collapsed="false" customWidth="true" hidden="false" outlineLevel="0" max="6" min="5" style="1" width="46"/>
    <col collapsed="false" customWidth="true" hidden="false" outlineLevel="0" max="7" min="7" style="1" width="30"/>
    <col collapsed="false" customWidth="true" hidden="false" outlineLevel="0" max="8" min="8" style="1" width="26"/>
    <col collapsed="false" customWidth="true" hidden="false" outlineLevel="0" max="9" min="9" style="1" width="16"/>
    <col collapsed="false" customWidth="true" hidden="false" outlineLevel="0" max="10" min="10" style="1" width="30"/>
    <col collapsed="false" customWidth="true" hidden="false" outlineLevel="0" max="11" min="11" style="1" width="10"/>
  </cols>
  <sheetData>
    <row r="1" customFormat="false" ht="79.5" hidden="false" customHeight="true" outlineLevel="0" collapsed="false">
      <c r="A1" s="2" t="s">
        <v>0</v>
      </c>
      <c r="B1" s="2" t="s">
        <v>1</v>
      </c>
      <c r="C1" s="2" t="s">
        <v>2</v>
      </c>
      <c r="D1" s="2" t="s">
        <v>3</v>
      </c>
      <c r="E1" s="2" t="s">
        <v>4</v>
      </c>
      <c r="F1" s="2" t="s">
        <v>5</v>
      </c>
      <c r="G1" s="2" t="s">
        <v>6</v>
      </c>
      <c r="H1" s="2" t="s">
        <v>7</v>
      </c>
      <c r="I1" s="3" t="s">
        <v>8</v>
      </c>
      <c r="J1" s="2" t="s">
        <v>9</v>
      </c>
      <c r="K1" s="2"/>
    </row>
    <row r="2" customFormat="false" ht="79.5" hidden="false" customHeight="true" outlineLevel="0" collapsed="false">
      <c r="A2" s="4" t="s">
        <v>10</v>
      </c>
      <c r="B2" s="4" t="s">
        <v>1</v>
      </c>
      <c r="C2" s="5" t="s">
        <v>11</v>
      </c>
      <c r="D2" s="4" t="s">
        <v>12</v>
      </c>
      <c r="E2" s="4" t="s">
        <v>13</v>
      </c>
      <c r="F2" s="4" t="s">
        <v>14</v>
      </c>
      <c r="G2" s="4" t="s">
        <v>15</v>
      </c>
      <c r="H2" s="4" t="s">
        <v>7</v>
      </c>
      <c r="I2" s="6" t="s">
        <v>8</v>
      </c>
      <c r="J2" s="4" t="s">
        <v>16</v>
      </c>
      <c r="K2" s="4"/>
    </row>
    <row r="3" customFormat="false" ht="60" hidden="false" customHeight="true" outlineLevel="0" collapsed="false">
      <c r="A3" s="4" t="s">
        <v>17</v>
      </c>
      <c r="B3" s="4" t="s">
        <v>1</v>
      </c>
      <c r="C3" s="6" t="s">
        <v>18</v>
      </c>
      <c r="D3" s="4" t="s">
        <v>19</v>
      </c>
      <c r="E3" s="4" t="s">
        <v>20</v>
      </c>
      <c r="F3" s="4" t="s">
        <v>21</v>
      </c>
      <c r="G3" s="4" t="s">
        <v>6</v>
      </c>
      <c r="H3" s="4" t="s">
        <v>7</v>
      </c>
      <c r="I3" s="6" t="s">
        <v>8</v>
      </c>
      <c r="J3" s="4" t="s">
        <v>22</v>
      </c>
      <c r="K3" s="4"/>
    </row>
    <row r="4" customFormat="false" ht="60" hidden="false" customHeight="true" outlineLevel="0" collapsed="false">
      <c r="A4" s="4" t="s">
        <v>23</v>
      </c>
      <c r="B4" s="4" t="s">
        <v>1</v>
      </c>
      <c r="C4" s="6" t="s">
        <v>18</v>
      </c>
      <c r="D4" s="4" t="s">
        <v>24</v>
      </c>
      <c r="E4" s="4" t="s">
        <v>25</v>
      </c>
      <c r="F4" s="4" t="s">
        <v>26</v>
      </c>
      <c r="G4" s="4" t="s">
        <v>6</v>
      </c>
      <c r="H4" s="4" t="s">
        <v>7</v>
      </c>
      <c r="I4" s="6" t="s">
        <v>8</v>
      </c>
      <c r="J4" s="4" t="s">
        <v>27</v>
      </c>
      <c r="K4" s="4"/>
    </row>
    <row r="5" customFormat="false" ht="60" hidden="false" customHeight="true" outlineLevel="0" collapsed="false">
      <c r="A5" s="4" t="s">
        <v>28</v>
      </c>
      <c r="B5" s="4" t="s">
        <v>1</v>
      </c>
      <c r="C5" s="7" t="s">
        <v>29</v>
      </c>
      <c r="D5" s="4" t="s">
        <v>30</v>
      </c>
      <c r="E5" s="4" t="s">
        <v>31</v>
      </c>
      <c r="F5" s="4" t="s">
        <v>32</v>
      </c>
      <c r="G5" s="4" t="s">
        <v>6</v>
      </c>
      <c r="H5" s="4" t="s">
        <v>7</v>
      </c>
      <c r="I5" s="6" t="s">
        <v>8</v>
      </c>
      <c r="J5" s="4" t="s">
        <v>33</v>
      </c>
      <c r="K5" s="4"/>
    </row>
    <row r="6" customFormat="false" ht="60" hidden="false" customHeight="true" outlineLevel="0" collapsed="false">
      <c r="A6" s="4" t="s">
        <v>34</v>
      </c>
      <c r="B6" s="4" t="s">
        <v>1</v>
      </c>
      <c r="C6" s="7" t="s">
        <v>29</v>
      </c>
      <c r="D6" s="4" t="s">
        <v>35</v>
      </c>
      <c r="E6" s="4" t="s">
        <v>36</v>
      </c>
      <c r="F6" s="4" t="s">
        <v>37</v>
      </c>
      <c r="G6" s="4" t="s">
        <v>6</v>
      </c>
      <c r="H6" s="4" t="s">
        <v>7</v>
      </c>
      <c r="I6" s="6" t="s">
        <v>8</v>
      </c>
      <c r="J6" s="4" t="s">
        <v>38</v>
      </c>
      <c r="K6" s="4"/>
    </row>
    <row r="7" customFormat="false" ht="60" hidden="false" customHeight="true" outlineLevel="0" collapsed="false">
      <c r="A7" s="4" t="s">
        <v>39</v>
      </c>
      <c r="B7" s="4" t="s">
        <v>1</v>
      </c>
      <c r="C7" s="8" t="s">
        <v>40</v>
      </c>
      <c r="D7" s="4" t="s">
        <v>41</v>
      </c>
      <c r="E7" s="4" t="s">
        <v>42</v>
      </c>
      <c r="F7" s="4" t="s">
        <v>43</v>
      </c>
      <c r="G7" s="4" t="s">
        <v>6</v>
      </c>
      <c r="H7" s="4" t="s">
        <v>7</v>
      </c>
      <c r="I7" s="6" t="s">
        <v>8</v>
      </c>
      <c r="J7" s="4" t="s">
        <v>44</v>
      </c>
      <c r="K7" s="4"/>
    </row>
    <row r="8" customFormat="false" ht="60" hidden="false" customHeight="true" outlineLevel="0" collapsed="false">
      <c r="A8" s="4" t="s">
        <v>45</v>
      </c>
      <c r="B8" s="4" t="s">
        <v>1</v>
      </c>
      <c r="C8" s="6" t="s">
        <v>46</v>
      </c>
      <c r="D8" s="4" t="s">
        <v>47</v>
      </c>
      <c r="E8" s="4" t="s">
        <v>48</v>
      </c>
      <c r="F8" s="4" t="s">
        <v>49</v>
      </c>
      <c r="G8" s="4" t="s">
        <v>6</v>
      </c>
      <c r="H8" s="4" t="s">
        <v>7</v>
      </c>
      <c r="I8" s="9" t="s">
        <v>8</v>
      </c>
      <c r="J8" s="4" t="s">
        <v>50</v>
      </c>
      <c r="K8" s="4"/>
    </row>
    <row r="9" customFormat="false" ht="60" hidden="false" customHeight="true" outlineLevel="0" collapsed="false">
      <c r="A9" s="4" t="s">
        <v>51</v>
      </c>
      <c r="B9" s="4" t="s">
        <v>1</v>
      </c>
      <c r="C9" s="6" t="s">
        <v>46</v>
      </c>
      <c r="D9" s="4" t="s">
        <v>52</v>
      </c>
      <c r="E9" s="4" t="s">
        <v>53</v>
      </c>
      <c r="F9" s="4" t="s">
        <v>54</v>
      </c>
      <c r="G9" s="4" t="s">
        <v>6</v>
      </c>
      <c r="H9" s="4" t="s">
        <v>7</v>
      </c>
      <c r="I9" s="9" t="s">
        <v>8</v>
      </c>
      <c r="J9" s="4" t="s">
        <v>55</v>
      </c>
      <c r="K9" s="4"/>
    </row>
    <row r="10" customFormat="false" ht="60" hidden="false" customHeight="true" outlineLevel="0" collapsed="false">
      <c r="A10" s="4" t="s">
        <v>56</v>
      </c>
      <c r="B10" s="4" t="s">
        <v>1</v>
      </c>
      <c r="C10" s="6" t="s">
        <v>46</v>
      </c>
      <c r="D10" s="4" t="s">
        <v>57</v>
      </c>
      <c r="E10" s="4" t="s">
        <v>58</v>
      </c>
      <c r="F10" s="4" t="s">
        <v>59</v>
      </c>
      <c r="G10" s="4" t="s">
        <v>6</v>
      </c>
      <c r="H10" s="4" t="s">
        <v>7</v>
      </c>
      <c r="I10" s="9" t="s">
        <v>8</v>
      </c>
      <c r="J10" s="4" t="s">
        <v>60</v>
      </c>
      <c r="K10" s="4"/>
    </row>
    <row r="11" customFormat="false" ht="60" hidden="false" customHeight="true" outlineLevel="0" collapsed="false">
      <c r="A11" s="4" t="s">
        <v>61</v>
      </c>
      <c r="B11" s="4" t="s">
        <v>1</v>
      </c>
      <c r="C11" s="7" t="s">
        <v>62</v>
      </c>
      <c r="D11" s="4" t="s">
        <v>63</v>
      </c>
      <c r="E11" s="4" t="s">
        <v>64</v>
      </c>
      <c r="F11" s="4" t="s">
        <v>65</v>
      </c>
      <c r="G11" s="4" t="s">
        <v>6</v>
      </c>
      <c r="H11" s="4" t="s">
        <v>7</v>
      </c>
      <c r="I11" s="9" t="s">
        <v>8</v>
      </c>
      <c r="J11" s="4" t="s">
        <v>66</v>
      </c>
      <c r="K11" s="4"/>
    </row>
    <row r="12" customFormat="false" ht="60" hidden="false" customHeight="true" outlineLevel="0" collapsed="false">
      <c r="A12" s="4" t="s">
        <v>67</v>
      </c>
      <c r="B12" s="4" t="s">
        <v>1</v>
      </c>
      <c r="C12" s="7" t="s">
        <v>62</v>
      </c>
      <c r="D12" s="4" t="s">
        <v>68</v>
      </c>
      <c r="E12" s="4" t="s">
        <v>69</v>
      </c>
      <c r="F12" s="4" t="s">
        <v>70</v>
      </c>
      <c r="G12" s="4" t="s">
        <v>6</v>
      </c>
      <c r="H12" s="4" t="s">
        <v>7</v>
      </c>
      <c r="I12" s="9" t="s">
        <v>8</v>
      </c>
      <c r="J12" s="4" t="s">
        <v>71</v>
      </c>
      <c r="K12" s="4"/>
    </row>
    <row r="13" customFormat="false" ht="60" hidden="false" customHeight="true" outlineLevel="0" collapsed="false">
      <c r="A13" s="4" t="s">
        <v>72</v>
      </c>
      <c r="B13" s="4" t="s">
        <v>1</v>
      </c>
      <c r="C13" s="4" t="s">
        <v>73</v>
      </c>
      <c r="D13" s="4" t="s">
        <v>74</v>
      </c>
      <c r="E13" s="4" t="s">
        <v>75</v>
      </c>
      <c r="F13" s="4" t="s">
        <v>76</v>
      </c>
      <c r="G13" s="4" t="s">
        <v>6</v>
      </c>
      <c r="H13" s="4" t="s">
        <v>7</v>
      </c>
      <c r="I13" s="9" t="s">
        <v>8</v>
      </c>
      <c r="J13" s="4" t="s">
        <v>77</v>
      </c>
      <c r="K13" s="4"/>
    </row>
    <row r="14" customFormat="false" ht="60" hidden="false" customHeight="true" outlineLevel="0" collapsed="false">
      <c r="A14" s="4" t="s">
        <v>78</v>
      </c>
      <c r="B14" s="4" t="s">
        <v>1</v>
      </c>
      <c r="C14" s="7" t="s">
        <v>62</v>
      </c>
      <c r="D14" s="4" t="s">
        <v>79</v>
      </c>
      <c r="E14" s="4" t="s">
        <v>80</v>
      </c>
      <c r="F14" s="4" t="s">
        <v>81</v>
      </c>
      <c r="G14" s="4" t="s">
        <v>6</v>
      </c>
      <c r="H14" s="4" t="s">
        <v>7</v>
      </c>
      <c r="I14" s="9" t="s">
        <v>8</v>
      </c>
      <c r="J14" s="4" t="s">
        <v>82</v>
      </c>
      <c r="K14" s="4"/>
    </row>
    <row r="15" customFormat="false" ht="60" hidden="false" customHeight="true" outlineLevel="0" collapsed="false">
      <c r="A15" s="4" t="s">
        <v>83</v>
      </c>
      <c r="B15" s="4" t="s">
        <v>1</v>
      </c>
      <c r="C15" s="6" t="s">
        <v>84</v>
      </c>
      <c r="D15" s="4" t="s">
        <v>85</v>
      </c>
      <c r="E15" s="4" t="s">
        <v>86</v>
      </c>
      <c r="F15" s="4" t="s">
        <v>87</v>
      </c>
      <c r="G15" s="4" t="s">
        <v>88</v>
      </c>
      <c r="H15" s="4" t="s">
        <v>89</v>
      </c>
      <c r="I15" s="9" t="s">
        <v>90</v>
      </c>
      <c r="J15" s="4"/>
      <c r="K15" s="4"/>
    </row>
    <row r="16" customFormat="false" ht="60" hidden="false" customHeight="true" outlineLevel="0" collapsed="false">
      <c r="A16" s="4" t="s">
        <v>91</v>
      </c>
      <c r="B16" s="4" t="s">
        <v>1</v>
      </c>
      <c r="C16" s="7" t="s">
        <v>92</v>
      </c>
      <c r="D16" s="4" t="s">
        <v>93</v>
      </c>
      <c r="E16" s="4" t="s">
        <v>94</v>
      </c>
      <c r="F16" s="4" t="s">
        <v>95</v>
      </c>
      <c r="G16" s="4" t="s">
        <v>96</v>
      </c>
      <c r="H16" s="4" t="s">
        <v>97</v>
      </c>
      <c r="I16" s="9" t="s">
        <v>90</v>
      </c>
      <c r="J16" s="4"/>
      <c r="K16" s="4"/>
    </row>
    <row r="17" customFormat="false" ht="60" hidden="false" customHeight="true" outlineLevel="0" collapsed="false">
      <c r="A17" s="4" t="s">
        <v>98</v>
      </c>
      <c r="B17" s="4" t="s">
        <v>1</v>
      </c>
      <c r="C17" s="7" t="s">
        <v>92</v>
      </c>
      <c r="D17" s="4" t="s">
        <v>99</v>
      </c>
      <c r="E17" s="4" t="s">
        <v>100</v>
      </c>
      <c r="F17" s="4" t="s">
        <v>101</v>
      </c>
      <c r="G17" s="4" t="s">
        <v>102</v>
      </c>
      <c r="H17" s="4" t="s">
        <v>103</v>
      </c>
      <c r="I17" s="9" t="s">
        <v>90</v>
      </c>
      <c r="J17" s="4"/>
      <c r="K17" s="4"/>
    </row>
    <row r="18" customFormat="false" ht="60" hidden="false" customHeight="true" outlineLevel="0" collapsed="false">
      <c r="A18" s="4" t="s">
        <v>104</v>
      </c>
      <c r="B18" s="4" t="s">
        <v>1</v>
      </c>
      <c r="C18" s="8" t="s">
        <v>40</v>
      </c>
      <c r="D18" s="4" t="s">
        <v>105</v>
      </c>
      <c r="E18" s="4" t="s">
        <v>106</v>
      </c>
      <c r="F18" s="4" t="s">
        <v>107</v>
      </c>
      <c r="G18" s="4" t="s">
        <v>108</v>
      </c>
      <c r="H18" s="4" t="s">
        <v>7</v>
      </c>
      <c r="I18" s="9" t="s">
        <v>8</v>
      </c>
      <c r="J18" s="4" t="s">
        <v>109</v>
      </c>
      <c r="K18" s="4"/>
    </row>
    <row r="19" customFormat="false" ht="60" hidden="false" customHeight="true" outlineLevel="0" collapsed="false">
      <c r="A19" s="4" t="s">
        <v>110</v>
      </c>
      <c r="B19" s="4" t="s">
        <v>1</v>
      </c>
      <c r="C19" s="10" t="s">
        <v>111</v>
      </c>
      <c r="D19" s="4" t="s">
        <v>112</v>
      </c>
      <c r="E19" s="4" t="s">
        <v>113</v>
      </c>
      <c r="F19" s="4" t="s">
        <v>114</v>
      </c>
      <c r="G19" s="4" t="s">
        <v>115</v>
      </c>
      <c r="H19" s="4" t="s">
        <v>7</v>
      </c>
      <c r="I19" s="9" t="s">
        <v>8</v>
      </c>
      <c r="J19" s="4" t="s">
        <v>116</v>
      </c>
      <c r="K19" s="4"/>
    </row>
    <row r="20" customFormat="false" ht="60" hidden="false" customHeight="true" outlineLevel="0" collapsed="false">
      <c r="A20" s="4" t="s">
        <v>117</v>
      </c>
      <c r="B20" s="4" t="s">
        <v>118</v>
      </c>
      <c r="C20" s="7" t="s">
        <v>119</v>
      </c>
      <c r="D20" s="4" t="s">
        <v>120</v>
      </c>
      <c r="E20" s="4" t="s">
        <v>121</v>
      </c>
      <c r="F20" s="4" t="s">
        <v>122</v>
      </c>
      <c r="G20" s="4" t="s">
        <v>123</v>
      </c>
      <c r="H20" s="4" t="s">
        <v>124</v>
      </c>
      <c r="I20" s="6" t="s">
        <v>125</v>
      </c>
      <c r="J20" s="4"/>
      <c r="K20" s="4"/>
    </row>
    <row r="21" customFormat="false" ht="60" hidden="false" customHeight="true" outlineLevel="0" collapsed="false">
      <c r="A21" s="4" t="s">
        <v>126</v>
      </c>
      <c r="B21" s="4" t="s">
        <v>118</v>
      </c>
      <c r="C21" s="7" t="s">
        <v>119</v>
      </c>
      <c r="D21" s="4" t="s">
        <v>127</v>
      </c>
      <c r="E21" s="4" t="s">
        <v>128</v>
      </c>
      <c r="F21" s="4" t="s">
        <v>129</v>
      </c>
      <c r="G21" s="4" t="s">
        <v>130</v>
      </c>
      <c r="H21" s="4" t="s">
        <v>131</v>
      </c>
      <c r="I21" s="6" t="s">
        <v>125</v>
      </c>
      <c r="J21" s="4"/>
      <c r="K21" s="4"/>
    </row>
    <row r="22" customFormat="false" ht="60" hidden="false" customHeight="true" outlineLevel="0" collapsed="false">
      <c r="A22" s="4" t="s">
        <v>132</v>
      </c>
      <c r="B22" s="4" t="s">
        <v>118</v>
      </c>
      <c r="C22" s="8" t="s">
        <v>133</v>
      </c>
      <c r="D22" s="4" t="s">
        <v>134</v>
      </c>
      <c r="E22" s="4" t="s">
        <v>135</v>
      </c>
      <c r="F22" s="4" t="s">
        <v>136</v>
      </c>
      <c r="G22" s="4" t="s">
        <v>137</v>
      </c>
      <c r="H22" s="4" t="s">
        <v>138</v>
      </c>
      <c r="I22" s="6" t="s">
        <v>125</v>
      </c>
      <c r="J22" s="4"/>
      <c r="K22" s="4"/>
    </row>
    <row r="23" customFormat="false" ht="60" hidden="false" customHeight="true" outlineLevel="0" collapsed="false">
      <c r="A23" s="4" t="s">
        <v>139</v>
      </c>
      <c r="B23" s="4" t="s">
        <v>118</v>
      </c>
      <c r="C23" s="7" t="s">
        <v>119</v>
      </c>
      <c r="D23" s="4" t="s">
        <v>140</v>
      </c>
      <c r="E23" s="4" t="s">
        <v>141</v>
      </c>
      <c r="F23" s="4" t="s">
        <v>142</v>
      </c>
      <c r="G23" s="4" t="s">
        <v>143</v>
      </c>
      <c r="H23" s="4" t="s">
        <v>144</v>
      </c>
      <c r="I23" s="6" t="s">
        <v>125</v>
      </c>
      <c r="J23" s="4"/>
      <c r="K23" s="4"/>
    </row>
    <row r="24" customFormat="false" ht="60" hidden="false" customHeight="true" outlineLevel="0" collapsed="false">
      <c r="A24" s="4" t="s">
        <v>145</v>
      </c>
      <c r="B24" s="4" t="s">
        <v>118</v>
      </c>
      <c r="C24" s="8" t="s">
        <v>133</v>
      </c>
      <c r="D24" s="4" t="s">
        <v>146</v>
      </c>
      <c r="E24" s="4" t="s">
        <v>147</v>
      </c>
      <c r="F24" s="4" t="s">
        <v>148</v>
      </c>
      <c r="G24" s="4" t="s">
        <v>149</v>
      </c>
      <c r="H24" s="4" t="s">
        <v>7</v>
      </c>
      <c r="I24" s="9" t="s">
        <v>90</v>
      </c>
      <c r="J24" s="4"/>
      <c r="K24" s="4"/>
    </row>
    <row r="25" customFormat="false" ht="60" hidden="false" customHeight="true" outlineLevel="0" collapsed="false">
      <c r="A25" s="4" t="s">
        <v>150</v>
      </c>
      <c r="B25" s="4" t="s">
        <v>118</v>
      </c>
      <c r="C25" s="7" t="s">
        <v>119</v>
      </c>
      <c r="D25" s="4" t="s">
        <v>151</v>
      </c>
      <c r="E25" s="4" t="s">
        <v>152</v>
      </c>
      <c r="F25" s="4" t="s">
        <v>153</v>
      </c>
      <c r="G25" s="4" t="s">
        <v>154</v>
      </c>
      <c r="H25" s="4" t="s">
        <v>155</v>
      </c>
      <c r="I25" s="6" t="s">
        <v>156</v>
      </c>
      <c r="J25" s="4"/>
      <c r="K25" s="4"/>
    </row>
    <row r="26" customFormat="false" ht="60" hidden="false" customHeight="true" outlineLevel="0" collapsed="false">
      <c r="A26" s="4" t="s">
        <v>157</v>
      </c>
      <c r="B26" s="4" t="s">
        <v>118</v>
      </c>
      <c r="C26" s="8" t="s">
        <v>133</v>
      </c>
      <c r="D26" s="4" t="s">
        <v>158</v>
      </c>
      <c r="E26" s="4" t="s">
        <v>159</v>
      </c>
      <c r="F26" s="4" t="s">
        <v>160</v>
      </c>
      <c r="G26" s="4" t="s">
        <v>6</v>
      </c>
      <c r="H26" s="4" t="s">
        <v>7</v>
      </c>
      <c r="I26" s="9" t="s">
        <v>90</v>
      </c>
      <c r="J26" s="4"/>
      <c r="K26" s="4"/>
    </row>
    <row r="27" customFormat="false" ht="60" hidden="false" customHeight="true" outlineLevel="0" collapsed="false">
      <c r="A27" s="4" t="s">
        <v>161</v>
      </c>
      <c r="B27" s="4" t="s">
        <v>162</v>
      </c>
      <c r="C27" s="8" t="s">
        <v>133</v>
      </c>
      <c r="D27" s="4" t="s">
        <v>163</v>
      </c>
      <c r="E27" s="4" t="s">
        <v>164</v>
      </c>
      <c r="F27" s="4" t="s">
        <v>165</v>
      </c>
      <c r="G27" s="4" t="s">
        <v>166</v>
      </c>
      <c r="H27" s="4" t="s">
        <v>7</v>
      </c>
      <c r="I27" s="9" t="s">
        <v>90</v>
      </c>
      <c r="J27" s="4"/>
      <c r="K27" s="4"/>
    </row>
    <row r="28" customFormat="false" ht="60" hidden="false" customHeight="true" outlineLevel="0" collapsed="false">
      <c r="A28" s="4" t="s">
        <v>167</v>
      </c>
      <c r="B28" s="4" t="s">
        <v>162</v>
      </c>
      <c r="C28" s="8" t="s">
        <v>133</v>
      </c>
      <c r="D28" s="4" t="s">
        <v>168</v>
      </c>
      <c r="E28" s="4" t="s">
        <v>169</v>
      </c>
      <c r="F28" s="4" t="s">
        <v>170</v>
      </c>
      <c r="G28" s="4" t="s">
        <v>171</v>
      </c>
      <c r="H28" s="4" t="s">
        <v>172</v>
      </c>
      <c r="I28" s="9" t="s">
        <v>173</v>
      </c>
      <c r="J28" s="4"/>
      <c r="K28" s="4"/>
    </row>
    <row r="29" customFormat="false" ht="60" hidden="false" customHeight="true" outlineLevel="0" collapsed="false">
      <c r="A29" s="4" t="s">
        <v>174</v>
      </c>
      <c r="B29" s="4" t="s">
        <v>162</v>
      </c>
      <c r="C29" s="8" t="s">
        <v>133</v>
      </c>
      <c r="D29" s="4" t="s">
        <v>175</v>
      </c>
      <c r="E29" s="4" t="s">
        <v>176</v>
      </c>
      <c r="F29" s="4" t="s">
        <v>177</v>
      </c>
      <c r="G29" s="4" t="s">
        <v>178</v>
      </c>
      <c r="H29" s="4" t="s">
        <v>179</v>
      </c>
      <c r="I29" s="6" t="s">
        <v>125</v>
      </c>
      <c r="J29" s="4"/>
      <c r="K29" s="4"/>
    </row>
    <row r="30" customFormat="false" ht="60" hidden="false" customHeight="true" outlineLevel="0" collapsed="false">
      <c r="A30" s="4" t="s">
        <v>180</v>
      </c>
      <c r="B30" s="4" t="s">
        <v>162</v>
      </c>
      <c r="C30" s="7" t="s">
        <v>119</v>
      </c>
      <c r="D30" s="4" t="s">
        <v>181</v>
      </c>
      <c r="E30" s="4" t="s">
        <v>182</v>
      </c>
      <c r="F30" s="4" t="s">
        <v>183</v>
      </c>
      <c r="G30" s="4" t="s">
        <v>184</v>
      </c>
      <c r="H30" s="4" t="s">
        <v>185</v>
      </c>
      <c r="I30" s="6" t="s">
        <v>186</v>
      </c>
      <c r="J30" s="4"/>
      <c r="K30" s="4"/>
    </row>
    <row r="31" customFormat="false" ht="60" hidden="false" customHeight="true" outlineLevel="0" collapsed="false">
      <c r="A31" s="4" t="s">
        <v>187</v>
      </c>
      <c r="B31" s="4" t="s">
        <v>188</v>
      </c>
      <c r="C31" s="8" t="s">
        <v>133</v>
      </c>
      <c r="D31" s="4" t="s">
        <v>189</v>
      </c>
      <c r="E31" s="4" t="s">
        <v>190</v>
      </c>
      <c r="F31" s="4" t="s">
        <v>191</v>
      </c>
      <c r="G31" s="4" t="s">
        <v>192</v>
      </c>
      <c r="H31" s="4" t="s">
        <v>193</v>
      </c>
      <c r="I31" s="6" t="s">
        <v>194</v>
      </c>
      <c r="J31" s="4"/>
      <c r="K31" s="4"/>
    </row>
    <row r="32" customFormat="false" ht="60" hidden="false" customHeight="true" outlineLevel="0" collapsed="false">
      <c r="A32" s="4" t="s">
        <v>195</v>
      </c>
      <c r="B32" s="4" t="s">
        <v>188</v>
      </c>
      <c r="C32" s="10" t="s">
        <v>196</v>
      </c>
      <c r="D32" s="4" t="s">
        <v>197</v>
      </c>
      <c r="E32" s="4" t="s">
        <v>198</v>
      </c>
      <c r="F32" s="4" t="s">
        <v>199</v>
      </c>
      <c r="G32" s="4" t="s">
        <v>200</v>
      </c>
      <c r="H32" s="4" t="s">
        <v>201</v>
      </c>
      <c r="I32" s="6" t="s">
        <v>194</v>
      </c>
      <c r="J32" s="4"/>
      <c r="K32" s="4"/>
    </row>
    <row r="33" customFormat="false" ht="60" hidden="false" customHeight="true" outlineLevel="0" collapsed="false">
      <c r="A33" s="4" t="s">
        <v>202</v>
      </c>
      <c r="B33" s="4" t="s">
        <v>118</v>
      </c>
      <c r="C33" s="7" t="s">
        <v>119</v>
      </c>
      <c r="D33" s="4" t="s">
        <v>203</v>
      </c>
      <c r="E33" s="4" t="s">
        <v>204</v>
      </c>
      <c r="F33" s="4" t="s">
        <v>205</v>
      </c>
      <c r="G33" s="4" t="s">
        <v>206</v>
      </c>
      <c r="H33" s="4" t="s">
        <v>207</v>
      </c>
      <c r="I33" s="9" t="s">
        <v>90</v>
      </c>
      <c r="J33" s="4"/>
      <c r="K33" s="4"/>
    </row>
    <row r="34" customFormat="false" ht="60" hidden="false" customHeight="true" outlineLevel="0" collapsed="false">
      <c r="A34" s="4" t="s">
        <v>208</v>
      </c>
      <c r="B34" s="4" t="s">
        <v>118</v>
      </c>
      <c r="C34" s="8" t="s">
        <v>133</v>
      </c>
      <c r="D34" s="4" t="s">
        <v>209</v>
      </c>
      <c r="E34" s="4" t="s">
        <v>210</v>
      </c>
      <c r="F34" s="4" t="s">
        <v>211</v>
      </c>
      <c r="G34" s="4" t="s">
        <v>212</v>
      </c>
      <c r="H34" s="4" t="s">
        <v>213</v>
      </c>
      <c r="I34" s="9" t="s">
        <v>90</v>
      </c>
      <c r="J34" s="4"/>
      <c r="K34" s="4"/>
    </row>
    <row r="35" customFormat="false" ht="60" hidden="false" customHeight="true" outlineLevel="0" collapsed="false">
      <c r="A35" s="4" t="s">
        <v>214</v>
      </c>
      <c r="B35" s="4" t="s">
        <v>118</v>
      </c>
      <c r="C35" s="8" t="s">
        <v>133</v>
      </c>
      <c r="D35" s="4" t="s">
        <v>215</v>
      </c>
      <c r="E35" s="4" t="s">
        <v>216</v>
      </c>
      <c r="F35" s="4" t="s">
        <v>217</v>
      </c>
      <c r="G35" s="4" t="s">
        <v>218</v>
      </c>
      <c r="H35" s="4" t="s">
        <v>219</v>
      </c>
      <c r="I35" s="9" t="s">
        <v>90</v>
      </c>
      <c r="J35" s="4"/>
      <c r="K35" s="4"/>
    </row>
    <row r="36" customFormat="false" ht="60" hidden="false" customHeight="true" outlineLevel="0" collapsed="false">
      <c r="A36" s="4" t="s">
        <v>220</v>
      </c>
      <c r="B36" s="4" t="s">
        <v>118</v>
      </c>
      <c r="C36" s="7" t="s">
        <v>119</v>
      </c>
      <c r="D36" s="4" t="s">
        <v>221</v>
      </c>
      <c r="E36" s="4" t="s">
        <v>222</v>
      </c>
      <c r="F36" s="4" t="s">
        <v>223</v>
      </c>
      <c r="G36" s="4" t="s">
        <v>224</v>
      </c>
      <c r="H36" s="4" t="s">
        <v>7</v>
      </c>
      <c r="I36" s="9" t="s">
        <v>90</v>
      </c>
      <c r="J36" s="4"/>
      <c r="K36" s="4"/>
    </row>
    <row r="37" customFormat="false" ht="79.5" hidden="false" customHeight="true" outlineLevel="0" collapsed="false">
      <c r="A37" s="4" t="s">
        <v>225</v>
      </c>
      <c r="B37" s="4" t="s">
        <v>118</v>
      </c>
      <c r="C37" s="7" t="s">
        <v>119</v>
      </c>
      <c r="D37" s="4" t="s">
        <v>226</v>
      </c>
      <c r="E37" s="4" t="s">
        <v>227</v>
      </c>
      <c r="F37" s="4" t="s">
        <v>228</v>
      </c>
      <c r="G37" s="4" t="s">
        <v>229</v>
      </c>
      <c r="H37" s="4" t="s">
        <v>230</v>
      </c>
      <c r="I37" s="9" t="s">
        <v>8</v>
      </c>
      <c r="J37" s="4" t="s">
        <v>231</v>
      </c>
      <c r="K37" s="4"/>
    </row>
    <row r="38" customFormat="false" ht="64.5" hidden="false" customHeight="true" outlineLevel="0" collapsed="false">
      <c r="A38" s="4" t="s">
        <v>232</v>
      </c>
      <c r="B38" s="4" t="s">
        <v>1</v>
      </c>
      <c r="C38" s="6" t="s">
        <v>233</v>
      </c>
      <c r="D38" s="4" t="s">
        <v>234</v>
      </c>
      <c r="E38" s="4" t="s">
        <v>235</v>
      </c>
      <c r="F38" s="4" t="s">
        <v>236</v>
      </c>
      <c r="G38" s="4" t="s">
        <v>237</v>
      </c>
      <c r="H38" s="4" t="s">
        <v>7</v>
      </c>
      <c r="I38" s="6" t="s">
        <v>238</v>
      </c>
      <c r="J38" s="4" t="s">
        <v>239</v>
      </c>
      <c r="K38" s="4"/>
    </row>
    <row r="39" customFormat="false" ht="64.5" hidden="false" customHeight="true" outlineLevel="0" collapsed="false">
      <c r="A39" s="4" t="s">
        <v>240</v>
      </c>
      <c r="B39" s="4" t="s">
        <v>1</v>
      </c>
      <c r="C39" s="7" t="s">
        <v>241</v>
      </c>
      <c r="D39" s="4" t="s">
        <v>242</v>
      </c>
      <c r="E39" s="4" t="s">
        <v>243</v>
      </c>
      <c r="F39" s="4" t="s">
        <v>244</v>
      </c>
      <c r="G39" s="4" t="s">
        <v>245</v>
      </c>
      <c r="H39" s="4" t="s">
        <v>7</v>
      </c>
      <c r="I39" s="9" t="s">
        <v>8</v>
      </c>
      <c r="J39" s="4" t="s">
        <v>246</v>
      </c>
      <c r="K39" s="4"/>
    </row>
    <row r="40" customFormat="false" ht="64.5" hidden="false" customHeight="true" outlineLevel="0" collapsed="false">
      <c r="A40" s="4" t="s">
        <v>247</v>
      </c>
      <c r="B40" s="4" t="s">
        <v>1</v>
      </c>
      <c r="C40" s="11" t="s">
        <v>248</v>
      </c>
      <c r="D40" s="4" t="s">
        <v>249</v>
      </c>
      <c r="E40" s="4" t="s">
        <v>250</v>
      </c>
      <c r="F40" s="4" t="s">
        <v>251</v>
      </c>
      <c r="G40" s="4" t="s">
        <v>252</v>
      </c>
      <c r="H40" s="4" t="s">
        <v>253</v>
      </c>
      <c r="I40" s="6" t="s">
        <v>8</v>
      </c>
      <c r="J40" s="4" t="s">
        <v>254</v>
      </c>
      <c r="K40" s="4"/>
    </row>
    <row r="41" customFormat="false" ht="64.5" hidden="false" customHeight="true" outlineLevel="0" collapsed="false">
      <c r="A41" s="4" t="s">
        <v>255</v>
      </c>
      <c r="B41" s="4" t="s">
        <v>1</v>
      </c>
      <c r="C41" s="11" t="s">
        <v>256</v>
      </c>
      <c r="D41" s="4" t="s">
        <v>257</v>
      </c>
      <c r="E41" s="4" t="s">
        <v>258</v>
      </c>
      <c r="F41" s="4" t="s">
        <v>259</v>
      </c>
      <c r="G41" s="4" t="s">
        <v>260</v>
      </c>
      <c r="H41" s="4" t="s">
        <v>261</v>
      </c>
      <c r="I41" s="6" t="s">
        <v>8</v>
      </c>
      <c r="J41" s="4" t="s">
        <v>262</v>
      </c>
      <c r="K41" s="4"/>
    </row>
    <row r="42" customFormat="false" ht="64.5" hidden="false" customHeight="true" outlineLevel="0" collapsed="false">
      <c r="A42" s="4" t="s">
        <v>263</v>
      </c>
      <c r="B42" s="4" t="s">
        <v>1</v>
      </c>
      <c r="C42" s="11" t="s">
        <v>264</v>
      </c>
      <c r="D42" s="4" t="s">
        <v>265</v>
      </c>
      <c r="E42" s="4" t="s">
        <v>266</v>
      </c>
      <c r="F42" s="4" t="s">
        <v>267</v>
      </c>
      <c r="G42" s="4" t="s">
        <v>268</v>
      </c>
      <c r="H42" s="4" t="s">
        <v>269</v>
      </c>
      <c r="I42" s="6" t="s">
        <v>8</v>
      </c>
      <c r="J42" s="4" t="s">
        <v>270</v>
      </c>
      <c r="K42" s="4"/>
    </row>
    <row r="43" customFormat="false" ht="64.5" hidden="false" customHeight="true" outlineLevel="0" collapsed="false">
      <c r="A43" s="4" t="s">
        <v>271</v>
      </c>
      <c r="B43" s="4" t="s">
        <v>1</v>
      </c>
      <c r="C43" s="11" t="s">
        <v>272</v>
      </c>
      <c r="D43" s="4" t="s">
        <v>273</v>
      </c>
      <c r="E43" s="4" t="s">
        <v>274</v>
      </c>
      <c r="F43" s="4" t="s">
        <v>275</v>
      </c>
      <c r="G43" s="4" t="s">
        <v>276</v>
      </c>
      <c r="H43" s="4" t="s">
        <v>277</v>
      </c>
      <c r="I43" s="6" t="s">
        <v>8</v>
      </c>
      <c r="J43" s="4" t="s">
        <v>278</v>
      </c>
      <c r="K43" s="4"/>
    </row>
    <row r="44" customFormat="false" ht="64.5" hidden="false" customHeight="true" outlineLevel="0" collapsed="false">
      <c r="A44" s="4" t="s">
        <v>279</v>
      </c>
      <c r="B44" s="4" t="s">
        <v>1</v>
      </c>
      <c r="C44" s="11" t="s">
        <v>280</v>
      </c>
      <c r="D44" s="4" t="s">
        <v>281</v>
      </c>
      <c r="E44" s="4" t="s">
        <v>282</v>
      </c>
      <c r="F44" s="4" t="s">
        <v>283</v>
      </c>
      <c r="G44" s="4" t="s">
        <v>284</v>
      </c>
      <c r="H44" s="4" t="s">
        <v>285</v>
      </c>
      <c r="I44" s="6" t="s">
        <v>8</v>
      </c>
      <c r="J44" s="4" t="s">
        <v>286</v>
      </c>
      <c r="K44" s="4"/>
    </row>
    <row r="45" customFormat="false" ht="64.5" hidden="false" customHeight="true" outlineLevel="0" collapsed="false">
      <c r="A45" s="4" t="s">
        <v>287</v>
      </c>
      <c r="B45" s="4" t="s">
        <v>1</v>
      </c>
      <c r="C45" s="11" t="s">
        <v>288</v>
      </c>
      <c r="D45" s="4" t="s">
        <v>289</v>
      </c>
      <c r="E45" s="4" t="s">
        <v>290</v>
      </c>
      <c r="F45" s="4" t="s">
        <v>291</v>
      </c>
      <c r="G45" s="4" t="s">
        <v>292</v>
      </c>
      <c r="H45" s="4" t="s">
        <v>293</v>
      </c>
      <c r="I45" s="6" t="s">
        <v>8</v>
      </c>
      <c r="J45" s="4" t="s">
        <v>294</v>
      </c>
      <c r="K45" s="4"/>
    </row>
    <row r="46" customFormat="false" ht="64.5" hidden="false" customHeight="true" outlineLevel="0" collapsed="false">
      <c r="A46" s="4" t="s">
        <v>295</v>
      </c>
      <c r="B46" s="4" t="s">
        <v>118</v>
      </c>
      <c r="C46" s="7" t="s">
        <v>296</v>
      </c>
      <c r="D46" s="4" t="s">
        <v>297</v>
      </c>
      <c r="E46" s="4" t="s">
        <v>298</v>
      </c>
      <c r="F46" s="4" t="s">
        <v>299</v>
      </c>
      <c r="G46" s="4" t="s">
        <v>300</v>
      </c>
      <c r="H46" s="4" t="s">
        <v>301</v>
      </c>
      <c r="I46" s="9" t="s">
        <v>90</v>
      </c>
      <c r="J46" s="4"/>
      <c r="K46" s="4"/>
    </row>
    <row r="47" customFormat="false" ht="64.5" hidden="false" customHeight="true" outlineLevel="0" collapsed="false">
      <c r="A47" s="4" t="s">
        <v>302</v>
      </c>
      <c r="B47" s="4" t="s">
        <v>118</v>
      </c>
      <c r="C47" s="7" t="s">
        <v>303</v>
      </c>
      <c r="D47" s="4" t="s">
        <v>304</v>
      </c>
      <c r="E47" s="4" t="s">
        <v>305</v>
      </c>
      <c r="F47" s="4" t="s">
        <v>306</v>
      </c>
      <c r="G47" s="4" t="s">
        <v>307</v>
      </c>
      <c r="H47" s="4" t="s">
        <v>7</v>
      </c>
      <c r="I47" s="9" t="s">
        <v>90</v>
      </c>
      <c r="J47" s="4"/>
      <c r="K47" s="4"/>
    </row>
    <row r="48" customFormat="false" ht="64.5" hidden="false" customHeight="true" outlineLevel="0" collapsed="false">
      <c r="A48" s="4" t="s">
        <v>308</v>
      </c>
      <c r="B48" s="4" t="s">
        <v>118</v>
      </c>
      <c r="C48" s="7" t="s">
        <v>309</v>
      </c>
      <c r="D48" s="4" t="s">
        <v>310</v>
      </c>
      <c r="E48" s="4" t="s">
        <v>311</v>
      </c>
      <c r="F48" s="4" t="s">
        <v>312</v>
      </c>
      <c r="G48" s="4" t="s">
        <v>313</v>
      </c>
      <c r="H48" s="4" t="s">
        <v>7</v>
      </c>
      <c r="I48" s="9" t="s">
        <v>90</v>
      </c>
      <c r="J48" s="4"/>
      <c r="K48" s="4"/>
    </row>
    <row r="49" customFormat="false" ht="64.5" hidden="false" customHeight="true" outlineLevel="0" collapsed="false">
      <c r="A49" s="4" t="s">
        <v>314</v>
      </c>
      <c r="B49" s="4" t="s">
        <v>118</v>
      </c>
      <c r="C49" s="6" t="s">
        <v>233</v>
      </c>
      <c r="D49" s="4" t="s">
        <v>315</v>
      </c>
      <c r="E49" s="4" t="s">
        <v>316</v>
      </c>
      <c r="F49" s="4" t="s">
        <v>317</v>
      </c>
      <c r="G49" s="4" t="s">
        <v>245</v>
      </c>
      <c r="H49" s="4" t="s">
        <v>7</v>
      </c>
      <c r="I49" s="9" t="s">
        <v>90</v>
      </c>
      <c r="J49" s="4"/>
      <c r="K49" s="4"/>
    </row>
    <row r="50" customFormat="false" ht="57" hidden="false" customHeight="true" outlineLevel="0" collapsed="false">
      <c r="A50" s="4" t="s">
        <v>318</v>
      </c>
      <c r="B50" s="4" t="s">
        <v>118</v>
      </c>
      <c r="C50" s="7" t="s">
        <v>319</v>
      </c>
      <c r="D50" s="4" t="s">
        <v>320</v>
      </c>
      <c r="E50" s="4" t="s">
        <v>321</v>
      </c>
      <c r="F50" s="4" t="s">
        <v>322</v>
      </c>
      <c r="G50" s="4" t="s">
        <v>323</v>
      </c>
      <c r="H50" s="4" t="s">
        <v>7</v>
      </c>
      <c r="I50" s="9" t="s">
        <v>8</v>
      </c>
      <c r="J50" s="4" t="s">
        <v>324</v>
      </c>
      <c r="K50" s="4"/>
    </row>
    <row r="51" customFormat="false" ht="57" hidden="false" customHeight="true" outlineLevel="0" collapsed="false">
      <c r="A51" s="4" t="s">
        <v>325</v>
      </c>
      <c r="B51" s="4" t="s">
        <v>118</v>
      </c>
      <c r="C51" s="7" t="s">
        <v>326</v>
      </c>
      <c r="D51" s="4" t="s">
        <v>327</v>
      </c>
      <c r="E51" s="4" t="s">
        <v>328</v>
      </c>
      <c r="F51" s="4" t="s">
        <v>329</v>
      </c>
      <c r="G51" s="4" t="s">
        <v>330</v>
      </c>
      <c r="H51" s="4" t="s">
        <v>7</v>
      </c>
      <c r="I51" s="9" t="s">
        <v>8</v>
      </c>
      <c r="J51" s="4" t="s">
        <v>331</v>
      </c>
      <c r="K51" s="4"/>
    </row>
    <row r="52" customFormat="false" ht="57" hidden="false" customHeight="true" outlineLevel="0" collapsed="false">
      <c r="A52" s="4" t="s">
        <v>332</v>
      </c>
      <c r="B52" s="4" t="s">
        <v>118</v>
      </c>
      <c r="C52" s="7" t="s">
        <v>333</v>
      </c>
      <c r="D52" s="4" t="s">
        <v>334</v>
      </c>
      <c r="E52" s="4" t="s">
        <v>335</v>
      </c>
      <c r="F52" s="4" t="s">
        <v>336</v>
      </c>
      <c r="G52" s="4" t="s">
        <v>337</v>
      </c>
      <c r="H52" s="4" t="s">
        <v>7</v>
      </c>
      <c r="I52" s="9" t="s">
        <v>8</v>
      </c>
      <c r="J52" s="4" t="s">
        <v>331</v>
      </c>
      <c r="K52" s="4"/>
    </row>
    <row r="53" customFormat="false" ht="57" hidden="false" customHeight="true" outlineLevel="0" collapsed="false">
      <c r="A53" s="4" t="s">
        <v>338</v>
      </c>
      <c r="B53" s="4" t="s">
        <v>118</v>
      </c>
      <c r="C53" s="4" t="s">
        <v>339</v>
      </c>
      <c r="D53" s="4" t="s">
        <v>340</v>
      </c>
      <c r="E53" s="4" t="s">
        <v>341</v>
      </c>
      <c r="F53" s="4" t="s">
        <v>342</v>
      </c>
      <c r="G53" s="4" t="s">
        <v>343</v>
      </c>
      <c r="H53" s="4" t="s">
        <v>7</v>
      </c>
      <c r="I53" s="4" t="s">
        <v>90</v>
      </c>
      <c r="J53" s="4" t="s">
        <v>344</v>
      </c>
      <c r="K53" s="4"/>
    </row>
    <row r="54" customFormat="false" ht="57" hidden="false" customHeight="true" outlineLevel="0" collapsed="false">
      <c r="A54" s="4" t="s">
        <v>345</v>
      </c>
      <c r="B54" s="4" t="s">
        <v>118</v>
      </c>
      <c r="C54" s="4" t="s">
        <v>346</v>
      </c>
      <c r="D54" s="4" t="s">
        <v>347</v>
      </c>
      <c r="E54" s="4" t="s">
        <v>348</v>
      </c>
      <c r="F54" s="4" t="s">
        <v>349</v>
      </c>
      <c r="G54" s="4" t="s">
        <v>6</v>
      </c>
      <c r="H54" s="4" t="s">
        <v>7</v>
      </c>
      <c r="I54" s="4" t="s">
        <v>8</v>
      </c>
      <c r="J54" s="4" t="s">
        <v>350</v>
      </c>
      <c r="K54" s="4"/>
    </row>
    <row r="55" customFormat="false" ht="57" hidden="false" customHeight="true" outlineLevel="0" collapsed="false">
      <c r="A55" s="4" t="s">
        <v>351</v>
      </c>
      <c r="B55" s="4" t="s">
        <v>118</v>
      </c>
      <c r="C55" s="4" t="s">
        <v>346</v>
      </c>
      <c r="D55" s="4" t="s">
        <v>352</v>
      </c>
      <c r="E55" s="4" t="s">
        <v>353</v>
      </c>
      <c r="F55" s="4" t="s">
        <v>354</v>
      </c>
      <c r="G55" s="4" t="s">
        <v>6</v>
      </c>
      <c r="H55" s="4" t="s">
        <v>7</v>
      </c>
      <c r="I55" s="4" t="s">
        <v>8</v>
      </c>
      <c r="J55" s="4" t="s">
        <v>355</v>
      </c>
      <c r="K55" s="4"/>
    </row>
    <row r="56" customFormat="false" ht="57" hidden="false" customHeight="true" outlineLevel="0" collapsed="false">
      <c r="A56" s="4" t="s">
        <v>356</v>
      </c>
      <c r="B56" s="4" t="s">
        <v>162</v>
      </c>
      <c r="C56" s="7" t="s">
        <v>357</v>
      </c>
      <c r="D56" s="4" t="s">
        <v>358</v>
      </c>
      <c r="E56" s="4" t="s">
        <v>359</v>
      </c>
      <c r="F56" s="4" t="s">
        <v>360</v>
      </c>
      <c r="G56" s="4" t="s">
        <v>361</v>
      </c>
      <c r="H56" s="4" t="s">
        <v>362</v>
      </c>
      <c r="I56" s="9" t="s">
        <v>156</v>
      </c>
      <c r="J56" s="4"/>
      <c r="K56" s="4"/>
    </row>
    <row r="57" customFormat="false" ht="57" hidden="false" customHeight="true" outlineLevel="0" collapsed="false">
      <c r="A57" s="4" t="s">
        <v>363</v>
      </c>
      <c r="B57" s="4" t="s">
        <v>162</v>
      </c>
      <c r="C57" s="8" t="s">
        <v>364</v>
      </c>
      <c r="D57" s="4" t="s">
        <v>365</v>
      </c>
      <c r="E57" s="4" t="s">
        <v>366</v>
      </c>
      <c r="F57" s="4" t="s">
        <v>367</v>
      </c>
      <c r="G57" s="4" t="s">
        <v>6</v>
      </c>
      <c r="H57" s="4" t="s">
        <v>7</v>
      </c>
      <c r="I57" s="9" t="s">
        <v>90</v>
      </c>
      <c r="J57" s="4"/>
      <c r="K57" s="4"/>
    </row>
    <row r="58" customFormat="false" ht="57" hidden="false" customHeight="true" outlineLevel="0" collapsed="false">
      <c r="A58" s="4" t="s">
        <v>368</v>
      </c>
      <c r="B58" s="4" t="s">
        <v>162</v>
      </c>
      <c r="C58" s="8" t="s">
        <v>369</v>
      </c>
      <c r="D58" s="4" t="s">
        <v>370</v>
      </c>
      <c r="E58" s="4" t="s">
        <v>371</v>
      </c>
      <c r="F58" s="4" t="s">
        <v>372</v>
      </c>
      <c r="G58" s="4" t="s">
        <v>373</v>
      </c>
      <c r="H58" s="4" t="s">
        <v>374</v>
      </c>
      <c r="I58" s="9" t="s">
        <v>90</v>
      </c>
      <c r="J58" s="4"/>
      <c r="K58" s="4"/>
    </row>
    <row r="59" customFormat="false" ht="15" hidden="false" customHeight="true" outlineLevel="0" collapsed="false">
      <c r="A59" s="1" t="s">
        <v>375</v>
      </c>
      <c r="B59" s="1" t="s">
        <v>1</v>
      </c>
      <c r="C59" s="1" t="s">
        <v>376</v>
      </c>
      <c r="D59" s="1" t="s">
        <v>377</v>
      </c>
      <c r="E59" s="1" t="s">
        <v>378</v>
      </c>
      <c r="F59" s="1" t="s">
        <v>379</v>
      </c>
      <c r="G59" s="1" t="s">
        <v>380</v>
      </c>
      <c r="I59" s="1" t="s">
        <v>8</v>
      </c>
      <c r="J59" s="1" t="s">
        <v>381</v>
      </c>
    </row>
    <row r="60" customFormat="false" ht="15" hidden="false" customHeight="true" outlineLevel="0" collapsed="false">
      <c r="A60" s="1" t="s">
        <v>382</v>
      </c>
      <c r="B60" s="1" t="s">
        <v>1</v>
      </c>
      <c r="C60" s="1" t="s">
        <v>376</v>
      </c>
      <c r="D60" s="1" t="s">
        <v>383</v>
      </c>
      <c r="E60" s="1" t="s">
        <v>384</v>
      </c>
      <c r="F60" s="1" t="s">
        <v>385</v>
      </c>
      <c r="G60" s="1" t="s">
        <v>386</v>
      </c>
      <c r="I60" s="1" t="s">
        <v>8</v>
      </c>
      <c r="J60" s="1" t="s">
        <v>387</v>
      </c>
    </row>
    <row r="61" customFormat="false" ht="15" hidden="false" customHeight="true" outlineLevel="0" collapsed="false">
      <c r="A61" s="1" t="s">
        <v>388</v>
      </c>
      <c r="B61" s="1" t="s">
        <v>118</v>
      </c>
      <c r="C61" s="1" t="s">
        <v>389</v>
      </c>
      <c r="D61" s="1" t="s">
        <v>390</v>
      </c>
      <c r="E61" s="1" t="s">
        <v>391</v>
      </c>
      <c r="F61" s="1" t="s">
        <v>392</v>
      </c>
      <c r="G61" s="1" t="s">
        <v>393</v>
      </c>
      <c r="H61" s="1" t="s">
        <v>382</v>
      </c>
      <c r="I61" s="1" t="s">
        <v>238</v>
      </c>
      <c r="J61" s="1" t="s">
        <v>394</v>
      </c>
    </row>
  </sheetData>
  <autoFilter ref="A1:K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7" min="2" style="1" width="14"/>
  </cols>
  <sheetData>
    <row r="1" customFormat="false" ht="17.25" hidden="false" customHeight="true" outlineLevel="0" collapsed="false">
      <c r="A1" s="12" t="s">
        <v>395</v>
      </c>
    </row>
    <row r="3" customFormat="false" ht="15" hidden="false" customHeight="true" outlineLevel="0" collapsed="false">
      <c r="A3" s="13" t="s">
        <v>396</v>
      </c>
      <c r="B3" s="13" t="s">
        <v>397</v>
      </c>
      <c r="C3" s="13" t="s">
        <v>90</v>
      </c>
      <c r="D3" s="13" t="s">
        <v>238</v>
      </c>
      <c r="E3" s="13" t="s">
        <v>398</v>
      </c>
      <c r="F3" s="13" t="s">
        <v>8</v>
      </c>
      <c r="G3" s="13" t="s">
        <v>399</v>
      </c>
    </row>
    <row r="4" customFormat="false" ht="15" hidden="false" customHeight="true" outlineLevel="0" collapsed="false">
      <c r="A4" s="14" t="s">
        <v>1</v>
      </c>
      <c r="B4" s="14" t="n">
        <f aca="false">COUNTIF('Ticket Backlog'!B:B,A4)</f>
        <v>29</v>
      </c>
      <c r="C4" s="14" t="n">
        <f aca="false">COUNTIFS('Ticket Backlog'!B:B,A4,'Ticket Backlog'!I:I,"Open")</f>
        <v>3</v>
      </c>
      <c r="D4" s="14" t="n">
        <f aca="false">COUNTIFS('Ticket Backlog'!B:B,A4,'Ticket Backlog'!I:I,"In Progress")</f>
        <v>1</v>
      </c>
      <c r="E4" s="14" t="n">
        <f aca="false">COUNTIFS('Ticket Backlog'!B:B,A4,'Ticket Backlog'!I:I,"Testing")</f>
        <v>0</v>
      </c>
      <c r="F4" s="14" t="n">
        <f aca="false">COUNTIFS('Ticket Backlog'!B:B,A4,'Ticket Backlog'!I:I,"Done")</f>
        <v>25</v>
      </c>
      <c r="G4" s="14" t="n">
        <f aca="false">SUMPRODUCT(ISNUMBER(SEARCH("Blocked",'Ticket Backlog'!$I$2:$I$1000))*('Ticket Backlog'!$B$2:$B$1000=A4))</f>
        <v>0</v>
      </c>
    </row>
    <row r="5" customFormat="false" ht="15" hidden="false" customHeight="true" outlineLevel="0" collapsed="false">
      <c r="A5" s="14" t="s">
        <v>118</v>
      </c>
      <c r="B5" s="14" t="n">
        <f aca="false">COUNTIF('Ticket Backlog'!B:B,A5)</f>
        <v>23</v>
      </c>
      <c r="C5" s="14" t="n">
        <f aca="false">COUNTIFS('Ticket Backlog'!B:B,A5,'Ticket Backlog'!I:I,"Open")</f>
        <v>11</v>
      </c>
      <c r="D5" s="14" t="n">
        <f aca="false">COUNTIFS('Ticket Backlog'!B:B,A5,'Ticket Backlog'!I:I,"In Progress")</f>
        <v>1</v>
      </c>
      <c r="E5" s="14" t="n">
        <f aca="false">COUNTIFS('Ticket Backlog'!B:B,A5,'Ticket Backlog'!I:I,"Testing")</f>
        <v>0</v>
      </c>
      <c r="F5" s="14" t="n">
        <f aca="false">COUNTIFS('Ticket Backlog'!B:B,A5,'Ticket Backlog'!I:I,"Done")</f>
        <v>6</v>
      </c>
      <c r="G5" s="14" t="n">
        <f aca="false">SUMPRODUCT(ISNUMBER(SEARCH("Blocked",'Ticket Backlog'!$I$2:$I$1000))*('Ticket Backlog'!$B$2:$B$1000=A5))</f>
        <v>5</v>
      </c>
    </row>
    <row r="6" customFormat="false" ht="15" hidden="false" customHeight="true" outlineLevel="0" collapsed="false">
      <c r="A6" s="14" t="s">
        <v>162</v>
      </c>
      <c r="B6" s="14" t="n">
        <f aca="false">COUNTIF('Ticket Backlog'!B:B,A6)</f>
        <v>7</v>
      </c>
      <c r="C6" s="14" t="n">
        <f aca="false">COUNTIFS('Ticket Backlog'!B:B,A6,'Ticket Backlog'!I:I,"Open")</f>
        <v>3</v>
      </c>
      <c r="D6" s="14" t="n">
        <f aca="false">COUNTIFS('Ticket Backlog'!B:B,A6,'Ticket Backlog'!I:I,"In Progress")</f>
        <v>0</v>
      </c>
      <c r="E6" s="14" t="n">
        <f aca="false">COUNTIFS('Ticket Backlog'!B:B,A6,'Ticket Backlog'!I:I,"Testing")</f>
        <v>0</v>
      </c>
      <c r="F6" s="14" t="n">
        <f aca="false">COUNTIFS('Ticket Backlog'!B:B,A6,'Ticket Backlog'!I:I,"Done")</f>
        <v>0</v>
      </c>
      <c r="G6" s="14" t="n">
        <f aca="false">SUMPRODUCT(ISNUMBER(SEARCH("Blocked",'Ticket Backlog'!$I$2:$I$1000))*('Ticket Backlog'!$B$2:$B$1000=A6))</f>
        <v>4</v>
      </c>
    </row>
    <row r="7" customFormat="false" ht="15" hidden="false" customHeight="true" outlineLevel="0" collapsed="false">
      <c r="A7" s="14" t="s">
        <v>188</v>
      </c>
      <c r="B7" s="14" t="n">
        <f aca="false">COUNTIF('Ticket Backlog'!B:B,A7)</f>
        <v>2</v>
      </c>
      <c r="C7" s="14" t="n">
        <f aca="false">COUNTIFS('Ticket Backlog'!B:B,A7,'Ticket Backlog'!I:I,"Open")</f>
        <v>0</v>
      </c>
      <c r="D7" s="14" t="n">
        <f aca="false">COUNTIFS('Ticket Backlog'!B:B,A7,'Ticket Backlog'!I:I,"In Progress")</f>
        <v>0</v>
      </c>
      <c r="E7" s="14" t="n">
        <f aca="false">COUNTIFS('Ticket Backlog'!B:B,A7,'Ticket Backlog'!I:I,"Testing")</f>
        <v>0</v>
      </c>
      <c r="F7" s="14" t="n">
        <f aca="false">COUNTIFS('Ticket Backlog'!B:B,A7,'Ticket Backlog'!I:I,"Done")</f>
        <v>0</v>
      </c>
      <c r="G7" s="14" t="n">
        <f aca="false">SUMPRODUCT(ISNUMBER(SEARCH("Blocked",'Ticket Backlog'!$I$2:$I$1000))*('Ticket Backlog'!$B$2:$B$1000=A7))</f>
        <v>2</v>
      </c>
    </row>
    <row r="8" customFormat="false" ht="15" hidden="false" customHeight="true" outlineLevel="0" collapsed="false">
      <c r="A8" s="14" t="s">
        <v>400</v>
      </c>
      <c r="B8" s="14" t="n">
        <f aca="false">SUM(B4:B7)</f>
        <v>61</v>
      </c>
      <c r="C8" s="14" t="n">
        <f aca="false">SUM(C4:C7)</f>
        <v>17</v>
      </c>
      <c r="D8" s="14" t="n">
        <f aca="false">SUM(D4:D7)</f>
        <v>2</v>
      </c>
      <c r="E8" s="14" t="n">
        <f aca="false">SUM(E4:E7)</f>
        <v>0</v>
      </c>
      <c r="F8" s="14" t="n">
        <f aca="false">SUM(F4:F7)</f>
        <v>31</v>
      </c>
      <c r="G8" s="14" t="n">
        <f aca="false">SUM(G4:G7)</f>
        <v>11</v>
      </c>
    </row>
    <row r="10" customFormat="false" ht="15" hidden="false" customHeight="true" outlineLevel="0" collapsed="false">
      <c r="A10" s="15" t="s">
        <v>401</v>
      </c>
      <c r="B10" s="15"/>
      <c r="C10" s="15"/>
      <c r="D10" s="15"/>
      <c r="E10" s="15"/>
      <c r="F10" s="15"/>
      <c r="G10" s="15"/>
    </row>
  </sheetData>
  <mergeCells count="1">
    <mergeCell ref="A10: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3" min="3" style="1" width="22"/>
    <col collapsed="false" customWidth="true" hidden="false" outlineLevel="0" max="4" min="4" style="1" width="46"/>
    <col collapsed="false" customWidth="true" hidden="false" outlineLevel="0" max="5" min="5" style="1" width="60"/>
  </cols>
  <sheetData>
    <row r="1" customFormat="false" ht="25.5" hidden="false" customHeight="true" outlineLevel="0" collapsed="false">
      <c r="A1" s="16" t="s">
        <v>402</v>
      </c>
      <c r="B1" s="16"/>
      <c r="C1" s="16"/>
      <c r="D1" s="16"/>
      <c r="E1" s="16"/>
    </row>
    <row r="2" customFormat="false" ht="15" hidden="false" customHeight="true" outlineLevel="0" collapsed="false">
      <c r="A2" s="17" t="s">
        <v>403</v>
      </c>
      <c r="B2" s="17"/>
      <c r="C2" s="17"/>
      <c r="D2" s="17"/>
      <c r="E2" s="17"/>
    </row>
    <row r="4" customFormat="false" ht="15" hidden="false" customHeight="true" outlineLevel="0" collapsed="false">
      <c r="B4" s="18" t="s">
        <v>404</v>
      </c>
      <c r="C4" s="18" t="s">
        <v>405</v>
      </c>
      <c r="D4" s="18" t="s">
        <v>406</v>
      </c>
      <c r="E4" s="18" t="s">
        <v>407</v>
      </c>
    </row>
    <row r="5" customFormat="false" ht="19.5" hidden="false" customHeight="true" outlineLevel="0" collapsed="false">
      <c r="A5" s="19" t="s">
        <v>408</v>
      </c>
      <c r="B5" s="19"/>
      <c r="C5" s="19"/>
      <c r="D5" s="19"/>
      <c r="E5" s="19"/>
    </row>
    <row r="6" customFormat="false" ht="23.25" hidden="false" customHeight="true" outlineLevel="0" collapsed="false">
      <c r="A6" s="20"/>
      <c r="B6" s="10" t="s">
        <v>409</v>
      </c>
      <c r="C6" s="10" t="s">
        <v>255</v>
      </c>
      <c r="D6" s="10" t="s">
        <v>410</v>
      </c>
      <c r="E6" s="10" t="s">
        <v>411</v>
      </c>
    </row>
    <row r="7" customFormat="false" ht="23.25" hidden="false" customHeight="true" outlineLevel="0" collapsed="false">
      <c r="A7" s="20"/>
      <c r="B7" s="10" t="s">
        <v>409</v>
      </c>
      <c r="C7" s="10" t="s">
        <v>412</v>
      </c>
      <c r="D7" s="10" t="s">
        <v>413</v>
      </c>
      <c r="E7" s="10" t="s">
        <v>414</v>
      </c>
    </row>
    <row r="8" customFormat="false" ht="23.25" hidden="false" customHeight="true" outlineLevel="0" collapsed="false">
      <c r="A8" s="20"/>
      <c r="B8" s="10" t="s">
        <v>409</v>
      </c>
      <c r="C8" s="10" t="s">
        <v>415</v>
      </c>
      <c r="D8" s="10" t="s">
        <v>416</v>
      </c>
      <c r="E8" s="10" t="s">
        <v>417</v>
      </c>
    </row>
    <row r="9" customFormat="false" ht="23.25" hidden="false" customHeight="true" outlineLevel="0" collapsed="false">
      <c r="A9" s="20"/>
      <c r="B9" s="10" t="s">
        <v>409</v>
      </c>
      <c r="C9" s="10" t="s">
        <v>418</v>
      </c>
      <c r="D9" s="10" t="s">
        <v>419</v>
      </c>
      <c r="E9" s="10" t="s">
        <v>420</v>
      </c>
    </row>
    <row r="11" customFormat="false" ht="19.5" hidden="false" customHeight="true" outlineLevel="0" collapsed="false">
      <c r="A11" s="21" t="s">
        <v>421</v>
      </c>
      <c r="B11" s="21"/>
      <c r="C11" s="21"/>
      <c r="D11" s="21"/>
      <c r="E11" s="21"/>
    </row>
    <row r="12" customFormat="false" ht="57" hidden="false" customHeight="true" outlineLevel="0" collapsed="false">
      <c r="A12" s="20"/>
      <c r="B12" s="10" t="s">
        <v>409</v>
      </c>
      <c r="C12" s="10" t="s">
        <v>279</v>
      </c>
      <c r="D12" s="10" t="s">
        <v>422</v>
      </c>
      <c r="E12" s="10" t="s">
        <v>423</v>
      </c>
    </row>
    <row r="14" customFormat="false" ht="19.5" hidden="false" customHeight="true" outlineLevel="0" collapsed="false">
      <c r="A14" s="21" t="s">
        <v>424</v>
      </c>
      <c r="B14" s="21"/>
      <c r="C14" s="21"/>
      <c r="D14" s="21"/>
      <c r="E14" s="21"/>
    </row>
    <row r="15" customFormat="false" ht="23.25" hidden="false" customHeight="true" outlineLevel="0" collapsed="false">
      <c r="A15" s="20"/>
      <c r="B15" s="10" t="s">
        <v>409</v>
      </c>
      <c r="C15" s="10" t="s">
        <v>279</v>
      </c>
      <c r="D15" s="10" t="s">
        <v>425</v>
      </c>
      <c r="E15" s="10" t="s">
        <v>426</v>
      </c>
    </row>
    <row r="16" customFormat="false" ht="34.5" hidden="false" customHeight="true" outlineLevel="0" collapsed="false">
      <c r="A16" s="20"/>
      <c r="B16" s="10" t="s">
        <v>409</v>
      </c>
      <c r="C16" s="10" t="s">
        <v>10</v>
      </c>
      <c r="D16" s="10" t="s">
        <v>427</v>
      </c>
      <c r="E16" s="10" t="s">
        <v>428</v>
      </c>
    </row>
    <row r="17" customFormat="false" ht="23.25" hidden="false" customHeight="true" outlineLevel="0" collapsed="false">
      <c r="A17" s="20"/>
      <c r="B17" s="10" t="s">
        <v>409</v>
      </c>
      <c r="C17" s="10" t="s">
        <v>345</v>
      </c>
      <c r="D17" s="10" t="s">
        <v>429</v>
      </c>
      <c r="E17" s="10" t="s">
        <v>430</v>
      </c>
    </row>
    <row r="18" customFormat="false" ht="15" hidden="false" customHeight="true" outlineLevel="0" collapsed="false">
      <c r="A18" s="20"/>
      <c r="B18" s="10" t="s">
        <v>431</v>
      </c>
      <c r="C18" s="10" t="s">
        <v>351</v>
      </c>
      <c r="D18" s="10" t="s">
        <v>432</v>
      </c>
      <c r="E18" s="10" t="s">
        <v>433</v>
      </c>
    </row>
    <row r="19" customFormat="false" ht="23.25" hidden="false" customHeight="true" outlineLevel="0" collapsed="false">
      <c r="A19" s="20"/>
      <c r="B19" s="7" t="s">
        <v>434</v>
      </c>
      <c r="C19" s="7" t="s">
        <v>225</v>
      </c>
      <c r="D19" s="7" t="s">
        <v>435</v>
      </c>
      <c r="E19" s="7" t="s">
        <v>436</v>
      </c>
    </row>
    <row r="20" customFormat="false" ht="34.5" hidden="false" customHeight="true" outlineLevel="0" collapsed="false">
      <c r="A20" s="20"/>
      <c r="B20" s="10" t="s">
        <v>409</v>
      </c>
      <c r="C20" s="10" t="s">
        <v>437</v>
      </c>
      <c r="D20" s="10" t="s">
        <v>438</v>
      </c>
      <c r="E20" s="10" t="s">
        <v>439</v>
      </c>
    </row>
    <row r="21" customFormat="false" ht="23.25" hidden="false" customHeight="true" outlineLevel="0" collapsed="false">
      <c r="A21" s="20"/>
      <c r="B21" s="10" t="s">
        <v>409</v>
      </c>
      <c r="C21" s="10" t="s">
        <v>287</v>
      </c>
      <c r="D21" s="10" t="s">
        <v>440</v>
      </c>
      <c r="E21" s="10" t="s">
        <v>441</v>
      </c>
    </row>
    <row r="22" customFormat="false" ht="19.5" hidden="false" customHeight="true" outlineLevel="0" collapsed="false">
      <c r="A22" s="20"/>
      <c r="B22" s="20"/>
      <c r="C22" s="20"/>
      <c r="D22" s="20"/>
      <c r="E22" s="20"/>
    </row>
    <row r="23" customFormat="false" ht="23.25" hidden="false" customHeight="true" outlineLevel="0" collapsed="false">
      <c r="A23" s="20"/>
      <c r="B23" s="7" t="s">
        <v>409</v>
      </c>
      <c r="C23" s="7" t="s">
        <v>247</v>
      </c>
      <c r="D23" s="7" t="s">
        <v>442</v>
      </c>
      <c r="E23" s="7" t="s">
        <v>443</v>
      </c>
    </row>
    <row r="24" customFormat="false" ht="23.25" hidden="false" customHeight="true" outlineLevel="0" collapsed="false">
      <c r="A24" s="20"/>
      <c r="B24" s="7" t="s">
        <v>409</v>
      </c>
      <c r="C24" s="7" t="s">
        <v>10</v>
      </c>
      <c r="D24" s="7" t="s">
        <v>444</v>
      </c>
      <c r="E24" s="7" t="s">
        <v>445</v>
      </c>
    </row>
    <row r="25" customFormat="false" ht="23.25" hidden="false" customHeight="true" outlineLevel="0" collapsed="false"/>
    <row r="26" customFormat="false" ht="19.5" hidden="false" customHeight="true" outlineLevel="0" collapsed="false">
      <c r="A26" s="19" t="s">
        <v>446</v>
      </c>
      <c r="B26" s="19"/>
      <c r="C26" s="19"/>
      <c r="D26" s="19"/>
      <c r="E26" s="19"/>
    </row>
    <row r="27" customFormat="false" ht="23.25" hidden="false" customHeight="true" outlineLevel="0" collapsed="false">
      <c r="A27" s="20"/>
      <c r="B27" s="4" t="s">
        <v>447</v>
      </c>
      <c r="C27" s="4" t="s">
        <v>448</v>
      </c>
      <c r="D27" s="4" t="s">
        <v>449</v>
      </c>
      <c r="E27" s="4" t="s">
        <v>450</v>
      </c>
    </row>
    <row r="28" customFormat="false" ht="23.25" hidden="false" customHeight="true" outlineLevel="0" collapsed="false">
      <c r="A28" s="20"/>
      <c r="B28" s="6" t="s">
        <v>451</v>
      </c>
      <c r="C28" s="6" t="s">
        <v>452</v>
      </c>
      <c r="D28" s="6" t="s">
        <v>453</v>
      </c>
      <c r="E28" s="6" t="s">
        <v>454</v>
      </c>
    </row>
    <row r="29" customFormat="false" ht="23.25" hidden="false" customHeight="true" outlineLevel="0" collapsed="false"/>
    <row r="30" customFormat="false" ht="23.25" hidden="false" customHeight="true" outlineLevel="0" collapsed="false">
      <c r="A30" s="22" t="s">
        <v>455</v>
      </c>
    </row>
    <row r="31" customFormat="false" ht="15" hidden="false" customHeight="true" outlineLevel="0" collapsed="false">
      <c r="A31" s="20"/>
      <c r="B31" s="4" t="s">
        <v>456</v>
      </c>
      <c r="C31" s="4" t="s">
        <v>318</v>
      </c>
      <c r="D31" s="4" t="s">
        <v>457</v>
      </c>
      <c r="E31" s="4" t="s">
        <v>458</v>
      </c>
    </row>
    <row r="32" customFormat="false" ht="23.25" hidden="false" customHeight="true" outlineLevel="0" collapsed="false">
      <c r="A32" s="20"/>
      <c r="B32" s="4" t="s">
        <v>456</v>
      </c>
      <c r="C32" s="4" t="s">
        <v>459</v>
      </c>
      <c r="D32" s="4" t="s">
        <v>460</v>
      </c>
      <c r="E32" s="4" t="s">
        <v>461</v>
      </c>
    </row>
    <row r="33" customFormat="false" ht="15" hidden="false" customHeight="true" outlineLevel="0" collapsed="false">
      <c r="A33" s="20"/>
      <c r="B33" s="4" t="s">
        <v>462</v>
      </c>
      <c r="C33" s="4" t="s">
        <v>463</v>
      </c>
      <c r="D33" s="4" t="s">
        <v>464</v>
      </c>
      <c r="E33" s="4" t="s">
        <v>465</v>
      </c>
    </row>
    <row r="34" customFormat="false" ht="23.25" hidden="false" customHeight="true" outlineLevel="0" collapsed="false">
      <c r="A34" s="20"/>
      <c r="B34" s="4" t="s">
        <v>462</v>
      </c>
      <c r="C34" s="4" t="s">
        <v>466</v>
      </c>
      <c r="D34" s="4" t="s">
        <v>467</v>
      </c>
      <c r="E34" s="4" t="s">
        <v>468</v>
      </c>
    </row>
    <row r="35" customFormat="false" ht="23.25" hidden="false" customHeight="true" outlineLevel="0" collapsed="false">
      <c r="A35" s="20"/>
      <c r="B35" s="4" t="s">
        <v>462</v>
      </c>
      <c r="C35" s="4" t="s">
        <v>469</v>
      </c>
      <c r="D35" s="4" t="s">
        <v>470</v>
      </c>
      <c r="E35" s="4" t="s">
        <v>471</v>
      </c>
    </row>
    <row r="36" customFormat="false" ht="19.5" hidden="false" customHeight="true" outlineLevel="0" collapsed="false">
      <c r="A36" s="20"/>
      <c r="B36" s="20"/>
      <c r="C36" s="20"/>
      <c r="D36" s="20"/>
      <c r="E36" s="20"/>
    </row>
    <row r="37" customFormat="false" ht="23.25" hidden="false" customHeight="true" outlineLevel="0" collapsed="false">
      <c r="A37" s="20"/>
      <c r="B37" s="4" t="s">
        <v>472</v>
      </c>
      <c r="C37" s="4" t="s">
        <v>473</v>
      </c>
      <c r="D37" s="4" t="s">
        <v>474</v>
      </c>
      <c r="E37" s="4" t="s">
        <v>475</v>
      </c>
    </row>
    <row r="38" customFormat="false" ht="23.25" hidden="false" customHeight="true" outlineLevel="0" collapsed="false">
      <c r="A38" s="20"/>
      <c r="B38" s="6" t="s">
        <v>476</v>
      </c>
      <c r="C38" s="6" t="s">
        <v>150</v>
      </c>
      <c r="D38" s="6" t="s">
        <v>151</v>
      </c>
      <c r="E38" s="6" t="s">
        <v>477</v>
      </c>
    </row>
    <row r="40" customFormat="false" ht="15" hidden="false" customHeight="true" outlineLevel="0" collapsed="false">
      <c r="A40" s="22" t="s">
        <v>478</v>
      </c>
    </row>
    <row r="41" customFormat="false" ht="23.25" hidden="false" customHeight="true" outlineLevel="0" collapsed="false">
      <c r="A41" s="20"/>
      <c r="B41" s="6" t="s">
        <v>479</v>
      </c>
      <c r="C41" s="6" t="s">
        <v>480</v>
      </c>
      <c r="D41" s="6" t="s">
        <v>481</v>
      </c>
      <c r="E41" s="6" t="s">
        <v>482</v>
      </c>
    </row>
  </sheetData>
  <mergeCells count="8">
    <mergeCell ref="A1:E1"/>
    <mergeCell ref="A2:E2"/>
    <mergeCell ref="A5:E5"/>
    <mergeCell ref="A11:E11"/>
    <mergeCell ref="A14:E14"/>
    <mergeCell ref="A22:E22"/>
    <mergeCell ref="A26:E26"/>
    <mergeCell ref="A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2026-08-08T04:50:03Z</dcterms:created>
  <dc:creator>openpyxl</dc:creator>
  <dc:description/>
  <dc:language>en-US</dc:language>
  <cp:lastModifiedBy/>
  <dcterms:modified xsi:type="dcterms:W3CDTF">2026-08-09T02:08:04Z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